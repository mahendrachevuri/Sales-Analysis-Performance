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mahen\Downloads\"/>
    </mc:Choice>
  </mc:AlternateContent>
  <xr:revisionPtr revIDLastSave="0" documentId="8_{70FF2ACF-9DB8-4B49-A74F-8FA0682B476A}" xr6:coauthVersionLast="47" xr6:coauthVersionMax="47" xr10:uidLastSave="{00000000-0000-0000-0000-000000000000}"/>
  <bookViews>
    <workbookView xWindow="-108" yWindow="-108" windowWidth="23256" windowHeight="13896" activeTab="1" xr2:uid="{4C1725D2-DEF0-4EC7-B609-994711680E5F}"/>
  </bookViews>
  <sheets>
    <sheet name="Row_Data" sheetId="1" r:id="rId1"/>
    <sheet name="Clean_Data" sheetId="3" r:id="rId2"/>
    <sheet name="PIVOTE" sheetId="2"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L2" i="1" a="1"/>
  <c r="L2" i="1" s="1"/>
  <c r="K2" i="1" a="1"/>
  <c r="K2" i="1" s="1"/>
  <c r="L3" i="3"/>
  <c r="M3" i="3"/>
  <c r="L4" i="3" l="1"/>
  <c r="L139" i="3"/>
  <c r="L137" i="3"/>
  <c r="F3" i="3"/>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24" i="3"/>
  <c r="F25" i="3"/>
  <c r="F26" i="3"/>
  <c r="F27" i="3"/>
  <c r="F28" i="3"/>
  <c r="F29" i="3"/>
  <c r="F30" i="3"/>
  <c r="F31" i="3"/>
  <c r="F32" i="3"/>
  <c r="F33" i="3"/>
  <c r="F34" i="3"/>
  <c r="F35" i="3"/>
  <c r="F36" i="3"/>
  <c r="F37" i="3"/>
  <c r="F38" i="3"/>
  <c r="F39" i="3"/>
  <c r="F40" i="3"/>
  <c r="F41" i="3"/>
  <c r="F42" i="3"/>
  <c r="F43" i="3"/>
  <c r="F44" i="3"/>
  <c r="F45" i="3"/>
  <c r="F46" i="3"/>
  <c r="F47" i="3"/>
  <c r="F48" i="3"/>
  <c r="F4" i="3"/>
  <c r="F5" i="3"/>
  <c r="F6" i="3"/>
  <c r="F7" i="3"/>
  <c r="F8" i="3"/>
  <c r="F9" i="3"/>
  <c r="F10" i="3"/>
  <c r="F11" i="3"/>
  <c r="F12" i="3"/>
  <c r="F13" i="3"/>
  <c r="F14" i="3"/>
  <c r="F15" i="3"/>
  <c r="F16" i="3"/>
  <c r="F17" i="3"/>
  <c r="F18" i="3"/>
  <c r="F19" i="3"/>
  <c r="F20" i="3"/>
  <c r="F21" i="3"/>
  <c r="F22" i="3"/>
  <c r="F23" i="3"/>
  <c r="D3" i="3"/>
  <c r="M151" i="3" l="1"/>
  <c r="L151" i="3"/>
  <c r="M150" i="3"/>
  <c r="L150" i="3"/>
  <c r="M149" i="3"/>
  <c r="L149" i="3"/>
  <c r="M148" i="3"/>
  <c r="L148" i="3"/>
  <c r="M147" i="3"/>
  <c r="L147" i="3"/>
  <c r="M146" i="3"/>
  <c r="L146" i="3"/>
  <c r="M145" i="3"/>
  <c r="L145" i="3"/>
  <c r="M144" i="3"/>
  <c r="L144" i="3"/>
  <c r="M143" i="3"/>
  <c r="L143" i="3"/>
  <c r="M142" i="3"/>
  <c r="L142" i="3"/>
  <c r="M141" i="3"/>
  <c r="L141" i="3"/>
  <c r="M140" i="3"/>
  <c r="L140" i="3"/>
  <c r="M139" i="3"/>
  <c r="M138" i="3"/>
  <c r="L138" i="3"/>
  <c r="M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121" i="3"/>
  <c r="M120" i="3"/>
  <c r="L120" i="3"/>
  <c r="M119" i="3"/>
  <c r="L119" i="3"/>
  <c r="M118" i="3"/>
  <c r="L118" i="3"/>
  <c r="M117" i="3"/>
  <c r="L117" i="3"/>
  <c r="M116" i="3"/>
  <c r="L116"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6" i="3"/>
  <c r="L86" i="3"/>
  <c r="M85" i="3"/>
  <c r="L85"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<sst xmlns="http://schemas.openxmlformats.org/spreadsheetml/2006/main" count="1238" uniqueCount="273">
  <si>
    <t>Order ID</t>
  </si>
  <si>
    <t>Date</t>
  </si>
  <si>
    <t>Region</t>
  </si>
  <si>
    <t>Sales Rep</t>
  </si>
  <si>
    <t>Category</t>
  </si>
  <si>
    <t>Product</t>
  </si>
  <si>
    <t>Quantity</t>
  </si>
  <si>
    <t>Unit Price</t>
  </si>
  <si>
    <t>Total Sale</t>
  </si>
  <si>
    <t>South</t>
  </si>
  <si>
    <t>Electronics</t>
  </si>
  <si>
    <t>North</t>
  </si>
  <si>
    <t>East</t>
  </si>
  <si>
    <t>Furniture</t>
  </si>
  <si>
    <t>ORD1001</t>
  </si>
  <si>
    <t>south</t>
  </si>
  <si>
    <t>rajesh kumar</t>
  </si>
  <si>
    <t>electronics</t>
  </si>
  <si>
    <t>wireless mouse</t>
  </si>
  <si>
    <t>ORD1002</t>
  </si>
  <si>
    <t>Priya Sharma</t>
  </si>
  <si>
    <t>Office Supplies</t>
  </si>
  <si>
    <t>notebook</t>
  </si>
  <si>
    <t>ORD1003</t>
  </si>
  <si>
    <t>EAST</t>
  </si>
  <si>
    <t>amit verma</t>
  </si>
  <si>
    <t>office chair</t>
  </si>
  <si>
    <t>ORD1004</t>
  </si>
  <si>
    <t>west</t>
  </si>
  <si>
    <t>Neha Patel</t>
  </si>
  <si>
    <t>keyboard</t>
  </si>
  <si>
    <t>ORD1005</t>
  </si>
  <si>
    <t>ARUN REDDY</t>
  </si>
  <si>
    <t>pen set</t>
  </si>
  <si>
    <t>ORD1006</t>
  </si>
  <si>
    <t>north</t>
  </si>
  <si>
    <t>Sneha Rao</t>
  </si>
  <si>
    <t>office table</t>
  </si>
  <si>
    <t>ORD1007</t>
  </si>
  <si>
    <t>rahul singh</t>
  </si>
  <si>
    <t>usb cable</t>
  </si>
  <si>
    <t>ORD1008</t>
  </si>
  <si>
    <t>WEST</t>
  </si>
  <si>
    <t>kavya mehta</t>
  </si>
  <si>
    <t>file folder</t>
  </si>
  <si>
    <t>ORD1009</t>
  </si>
  <si>
    <t>Vikram Das</t>
  </si>
  <si>
    <t>bookshelf</t>
  </si>
  <si>
    <t>ORD1010</t>
  </si>
  <si>
    <t>pooja nair</t>
  </si>
  <si>
    <t>monitor</t>
  </si>
  <si>
    <t>ORD1011</t>
  </si>
  <si>
    <t>east</t>
  </si>
  <si>
    <t>Ramesh Kumar</t>
  </si>
  <si>
    <t>stapler</t>
  </si>
  <si>
    <t>ORD1012</t>
  </si>
  <si>
    <t>Anjali Singh</t>
  </si>
  <si>
    <t>visitor chair</t>
  </si>
  <si>
    <t>ORD1013</t>
  </si>
  <si>
    <t>SOUTH</t>
  </si>
  <si>
    <t>mahesh reddy</t>
  </si>
  <si>
    <t>headphones</t>
  </si>
  <si>
    <t>ORD1014</t>
  </si>
  <si>
    <t>Divya Patel</t>
  </si>
  <si>
    <t>whiteboard</t>
  </si>
  <si>
    <t>ORD1015</t>
  </si>
  <si>
    <t>karan shah</t>
  </si>
  <si>
    <t>filing cabinet</t>
  </si>
  <si>
    <t>ORD1016</t>
  </si>
  <si>
    <t>Swathi Rao</t>
  </si>
  <si>
    <t>webcam</t>
  </si>
  <si>
    <t>ORD1017</t>
  </si>
  <si>
    <t>suresh kumar</t>
  </si>
  <si>
    <t>calculator</t>
  </si>
  <si>
    <t>ORD1018</t>
  </si>
  <si>
    <t>Meena Devi</t>
  </si>
  <si>
    <t>conference table</t>
  </si>
  <si>
    <t>ORD1019</t>
  </si>
  <si>
    <t>Ajay Verma</t>
  </si>
  <si>
    <t>printer</t>
  </si>
  <si>
    <t>ORD1020</t>
  </si>
  <si>
    <t>ravi nair</t>
  </si>
  <si>
    <t>diary</t>
  </si>
  <si>
    <t>ORD1021</t>
  </si>
  <si>
    <t>executive chair</t>
  </si>
  <si>
    <t>ORD1022</t>
  </si>
  <si>
    <t>laptop stand</t>
  </si>
  <si>
    <t>ORD1023</t>
  </si>
  <si>
    <t>highlighter</t>
  </si>
  <si>
    <t>ORD1024</t>
  </si>
  <si>
    <t>desk</t>
  </si>
  <si>
    <t>ORD1025</t>
  </si>
  <si>
    <t>Kavya Mehta</t>
  </si>
  <si>
    <t>speaker</t>
  </si>
  <si>
    <t>ORD1026</t>
  </si>
  <si>
    <t>Arun Reddy</t>
  </si>
  <si>
    <t>clipboard</t>
  </si>
  <si>
    <t>ORD1027</t>
  </si>
  <si>
    <t>Rajesh Kumar</t>
  </si>
  <si>
    <t>visitor table</t>
  </si>
  <si>
    <t>ORD1028</t>
  </si>
  <si>
    <t>external hard drive</t>
  </si>
  <si>
    <t>ORD1029</t>
  </si>
  <si>
    <t>ink cartridge</t>
  </si>
  <si>
    <t>ORD1030</t>
  </si>
  <si>
    <t>reception desk</t>
  </si>
  <si>
    <t>ORD1031</t>
  </si>
  <si>
    <t>Pooja Nair</t>
  </si>
  <si>
    <t>flash drive</t>
  </si>
  <si>
    <t>ORD1032</t>
  </si>
  <si>
    <t>sticky notes</t>
  </si>
  <si>
    <t>ORD1033</t>
  </si>
  <si>
    <t>metal rack</t>
  </si>
  <si>
    <t>ORD1034</t>
  </si>
  <si>
    <t>tablet</t>
  </si>
  <si>
    <t>ORD1035</t>
  </si>
  <si>
    <t>Karan Shah</t>
  </si>
  <si>
    <t>envelope pack</t>
  </si>
  <si>
    <t>ORD1036</t>
  </si>
  <si>
    <t>coffee table</t>
  </si>
  <si>
    <t>ORD1037</t>
  </si>
  <si>
    <t>Suresh Kumar</t>
  </si>
  <si>
    <t>bluetooth speaker</t>
  </si>
  <si>
    <t>ORD1038</t>
  </si>
  <si>
    <t>desk organizer</t>
  </si>
  <si>
    <t>ORD1039</t>
  </si>
  <si>
    <t>wooden cabinet</t>
  </si>
  <si>
    <t>ORD1040</t>
  </si>
  <si>
    <t>Ravi Nair</t>
  </si>
  <si>
    <t>laser printer</t>
  </si>
  <si>
    <t>ORD1041</t>
  </si>
  <si>
    <t>ledger book</t>
  </si>
  <si>
    <t>ORD1042</t>
  </si>
  <si>
    <t>Rahul Singh</t>
  </si>
  <si>
    <t>ergonomic chair</t>
  </si>
  <si>
    <t>ORD1043</t>
  </si>
  <si>
    <t>phone charger</t>
  </si>
  <si>
    <t>ORD1044</t>
  </si>
  <si>
    <t>Amit Verma</t>
  </si>
  <si>
    <t>scissors</t>
  </si>
  <si>
    <t>ORD1045</t>
  </si>
  <si>
    <t>visitor sofa</t>
  </si>
  <si>
    <t>ORD1046</t>
  </si>
  <si>
    <t>desk lamp</t>
  </si>
  <si>
    <t>ORD1047</t>
  </si>
  <si>
    <t>marker set</t>
  </si>
  <si>
    <t>ORD1048</t>
  </si>
  <si>
    <t>steel cupboard</t>
  </si>
  <si>
    <t>ORD1049</t>
  </si>
  <si>
    <t>smart watch</t>
  </si>
  <si>
    <t>ORD1050</t>
  </si>
  <si>
    <t>printer paper</t>
  </si>
  <si>
    <t>ORD1051</t>
  </si>
  <si>
    <t>office sofa</t>
  </si>
  <si>
    <t>ORD1052</t>
  </si>
  <si>
    <t>network router</t>
  </si>
  <si>
    <t>ORD1053</t>
  </si>
  <si>
    <t>Mahesh Reddy</t>
  </si>
  <si>
    <t>binder clips</t>
  </si>
  <si>
    <t>ORD1054</t>
  </si>
  <si>
    <t>round table</t>
  </si>
  <si>
    <t>ORD1055</t>
  </si>
  <si>
    <t>desktop computer</t>
  </si>
  <si>
    <t>ORD1056</t>
  </si>
  <si>
    <t>notepad</t>
  </si>
  <si>
    <t>ORD1057</t>
  </si>
  <si>
    <t>revolving chair</t>
  </si>
  <si>
    <t>ORD1058</t>
  </si>
  <si>
    <t>power bank</t>
  </si>
  <si>
    <t>ORD1059</t>
  </si>
  <si>
    <t>paper clips</t>
  </si>
  <si>
    <t>ORD1060</t>
  </si>
  <si>
    <t>wooden desk</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</si>
  <si>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</si>
  <si>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</si>
  <si>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</si>
  <si>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</si>
  <si>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</si>
  <si>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</si>
  <si>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</si>
  <si>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</si>
  <si>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</si>
  <si>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</si>
  <si>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</si>
  <si>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</si>
  <si>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</si>
  <si>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</si>
  <si>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</si>
  <si>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</si>
  <si>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</si>
  <si>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</si>
  <si>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</si>
  <si>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</si>
  <si>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</si>
  <si>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</si>
  <si>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</si>
  <si>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</si>
  <si>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</si>
  <si>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</si>
  <si>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</si>
  <si>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</si>
  <si>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</si>
  <si>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</si>
  <si>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</si>
  <si>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</si>
  <si>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</si>
  <si>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</si>
  <si>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</si>
  <si>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</si>
  <si>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</si>
  <si>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</si>
  <si>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</si>
  <si>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</si>
  <si>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</si>
  <si>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</si>
  <si>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</si>
  <si>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</si>
  <si>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</si>
  <si>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</si>
  <si>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</si>
  <si>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</si>
  <si>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</si>
  <si>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</si>
  <si>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</si>
  <si>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</si>
  <si>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</si>
  <si>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</si>
  <si>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</si>
  <si>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</si>
  <si>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</si>
  <si>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</si>
  <si>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</si>
  <si>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</si>
  <si>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</si>
  <si>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</si>
  <si>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</si>
  <si>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</si>
  <si>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</si>
  <si>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</si>
  <si>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</si>
  <si>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</si>
  <si>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</si>
  <si>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</si>
  <si>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</si>
  <si>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</si>
  <si>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</si>
  <si>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</si>
  <si>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</si>
  <si>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</si>
  <si>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</si>
  <si>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</si>
  <si>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</si>
  <si>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</si>
  <si>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</si>
  <si>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</si>
  <si>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</si>
  <si>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</si>
  <si>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</si>
  <si>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</si>
  <si>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</si>
  <si>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</si>
  <si>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</si>
  <si>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</si>
  <si>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Total_SL</t>
  </si>
  <si>
    <t>Row Labels</t>
  </si>
  <si>
    <t>Grand Total</t>
  </si>
  <si>
    <t>Column Labels</t>
  </si>
  <si>
    <t>Sum of Total Sale</t>
  </si>
  <si>
    <t>Pivote Table For Sale's _DATA</t>
  </si>
  <si>
    <t>8.Add slicers to the PivotTable so users can interactively filter sales by Region and Category.</t>
  </si>
  <si>
    <t>7.Create a PivotChart from the PivotTable to visually compare total sales by Region.</t>
  </si>
  <si>
    <r>
      <rPr>
        <sz val="7"/>
        <color theme="1"/>
        <rFont val="Times New Roman"/>
        <family val="1"/>
      </rPr>
      <t xml:space="preserve">     </t>
    </r>
    <r>
      <rPr>
        <sz val="11"/>
        <color theme="1"/>
        <rFont val="Times New Roman"/>
        <family val="1"/>
      </rPr>
      <t>6. Region should be in Rows, Category in Columns, and Sum of Total Sale in Values.</t>
    </r>
  </si>
  <si>
    <t>SALE'S_Performance_DashBord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</si>
</sst>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ptos Narrow"/>
      <family val="2"/>
      <scheme val="minor"/>
    </font>
    <font>
      <b/>
      <sz val="12"/>
      <color theme="1"/>
      <name val="Aptos Narrow"/>
      <family val="2"/>
      <scheme val="minor"/>
    </font>
    <font>
      <b/>
      <sz val="14"/>
      <color theme="1"/>
      <name val="Aptos Narrow"/>
      <family val="2"/>
      <scheme val="minor"/>
    </font>
    <font>
      <sz val="10"/>
      <color theme="1"/>
      <name val="Times New Roman"/>
      <family val="1"/>
    </font>
    <font>
      <sz val="7"/>
      <color theme="1"/>
      <name val="Times New Roman"/>
      <family val="1"/>
    </font>
    <font>
      <sz val="11"/>
      <color theme="1"/>
      <name val="Times New Roman"/>
      <family val="1"/>
    </font>
    <font>
      <sz val="11"/>
      <color theme="1"/>
      <name val="Aptos"/>
      <family val="2"/>
    </font>
    <font>
      <b/>
      <sz val="12"/>
      <color theme="1"/>
      <name val="Aptos Display"/>
      <family val="2"/>
      <scheme val="major"/>
    </font>
    <font>
      <sz val="11"/>
      <color theme="1"/>
      <name val="Aptos Display"/>
      <scheme val="major"/>
    </font>
    <font>
      <sz val="11"/>
      <color theme="1"/>
      <name val="Aptos"/>
    </font>
    <font>
      <b/>
      <sz val="18"/>
      <color rgb="FFFFFF00"/>
      <name val="Aptos Narrow"/>
      <family val="2"/>
      <scheme val="minor"/>
    </font>
    <font>
      <b/>
      <sz val="12"/>
      <color rgb="FFFF0000"/>
      <name val="Aptos Display"/>
      <family val="2"/>
      <scheme val="major"/>
    </font>
    <font>
      <sz val="11"/>
      <color theme="1" tint="4.9989318521683403E-2"/>
      <name val="Aptos"/>
      <family val="2"/>
    </font>
  </fonts>
  <fills count="14">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theme="8" tint="-0.249977111117893"/>
        <bgColor indexed="64"/>
      </patternFill>
    </fill>
    <fill>
      <patternFill patternType="solid">
        <fgColor theme="6" tint="-0.249977111117893"/>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1">
    <xf numFmtId="0" fontId="0" fillId="0" borderId="0"/>
  </cellStyleXfs>
  <cellXfs count="31">
    <xf numFmtId="0" fontId="0" fillId="0" borderId="0" xfId="0"/>
    <xf numFmtId="14" fontId="0" fillId="0" borderId="0" xfId="0" applyNumberFormat="1"/>
    <xf numFmtId="0" fontId="0" fillId="0" borderId="0" xfId="0" applyAlignment="1">
      <alignment horizontal="center"/>
    </xf>
    <xf numFmtId="0" fontId="0" fillId="0" borderId="0" xfId="0" applyAlignment="1">
      <alignment horizontal="center" vertical="center"/>
    </xf>
    <xf numFmtId="0" fontId="1" fillId="3" borderId="0" xfId="0" applyFont="1" applyFill="1"/>
    <xf numFmtId="0" fontId="6" fillId="0" borderId="0" xfId="0" applyFont="1"/>
    <xf numFmtId="0" fontId="6" fillId="0" borderId="0" xfId="0" applyFont="1" applyAlignment="1">
      <alignment horizontal="center"/>
    </xf>
    <xf numFmtId="0" fontId="7" fillId="5" borderId="0" xfId="0" applyFont="1" applyFill="1"/>
    <xf numFmtId="0" fontId="7" fillId="4" borderId="0" xfId="0" applyFont="1" applyFill="1"/>
    <xf numFmtId="0" fontId="7" fillId="6" borderId="0" xfId="0" applyFont="1" applyFill="1"/>
    <xf numFmtId="0" fontId="6" fillId="7" borderId="1" xfId="0" applyFont="1" applyFill="1" applyBorder="1"/>
    <xf numFmtId="0" fontId="6" fillId="0" borderId="1" xfId="0" applyFont="1" applyBorder="1"/>
    <xf numFmtId="0" fontId="7" fillId="8" borderId="0" xfId="0" applyFont="1" applyFill="1"/>
    <xf numFmtId="0" fontId="7" fillId="9" borderId="0" xfId="0" applyFont="1" applyFill="1"/>
    <xf numFmtId="0" fontId="7" fillId="10" borderId="0" xfId="0" applyFont="1" applyFill="1"/>
    <xf numFmtId="0" fontId="7" fillId="3" borderId="0" xfId="0" applyFont="1" applyFill="1"/>
    <xf numFmtId="0" fontId="2" fillId="0" borderId="0" xfId="0" applyFont="1"/>
    <xf numFmtId="0" fontId="7" fillId="11" borderId="0" xfId="0" applyFont="1" applyFill="1"/>
    <xf numFmtId="0" fontId="8" fillId="0" borderId="0" xfId="0" pivotButton="1" applyFont="1"/>
    <xf numFmtId="0" fontId="8" fillId="0" borderId="0" xfId="0" applyFont="1"/>
    <xf numFmtId="0" fontId="9" fillId="0" borderId="0" xfId="0" applyFont="1" applyAlignment="1">
      <alignment horizontal="left"/>
    </xf>
    <xf numFmtId="0" fontId="8" fillId="0" borderId="0" xfId="0" applyFont="1" applyAlignment="1">
      <alignment horizontal="left"/>
    </xf>
    <xf numFmtId="0" fontId="11" fillId="13" borderId="0" xfId="0" applyFont="1" applyFill="1"/>
    <xf numFmtId="0" fontId="12" fillId="0" borderId="0" xfId="0" applyFont="1" applyAlignment="1">
      <alignment horizontal="center"/>
    </xf>
    <xf numFmtId="0" fontId="10" fillId="12" borderId="0" xfId="0" applyFont="1" applyFill="1" applyAlignment="1">
      <alignment horizontal="center"/>
    </xf>
    <xf numFmtId="0" fontId="5" fillId="0" borderId="0" xfId="0" applyFont="1" applyAlignment="1">
      <alignment horizontal="center"/>
    </xf>
    <xf numFmtId="0" fontId="2" fillId="2" borderId="0" xfId="0" applyFont="1" applyFill="1" applyAlignment="1">
      <alignment horizontal="center"/>
    </xf>
    <xf numFmtId="0" fontId="3" fillId="0" borderId="0" xfId="0" applyFont="1" applyAlignment="1">
      <alignment horizontal="center" vertical="center"/>
    </xf>
    <xf numFmtId="0" fontId="0" fillId="0" borderId="0" xfId="0" applyAlignment="1">
      <alignment horizontal="center"/>
    </xf>
    <xf numFmtId="0" fontId="0" fillId="0" borderId="0" xfId="0" applyNumberFormat="1"/>
    <xf numFmtId="0" fontId="9" fillId="0" borderId="0" xfId="0" applyNumberFormat="1" applyFont="1"/>
  </cellXfs>
  <cellStyles count="1">
    <cellStyle name="Normal" xfId="0" builtinId="0"/>
  </cellStyles>
  <dxfs count="47">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scheme val="none"/>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scheme val="none"/>
      </font>
    </dxf>
    <dxf>
      <font>
        <name val="Aptos Display"/>
        <scheme val="major"/>
      </font>
    </dxf>
    <dxf>
      <font>
        <color rgb="FF9C5700"/>
      </font>
      <fill>
        <patternFill>
          <bgColor rgb="FFFFEB9C"/>
        </patternFill>
      </fill>
    </dxf>
    <dxf>
      <font>
        <color rgb="FFFFC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name val="Aptos Display"/>
        <scheme val="major"/>
      </font>
    </dxf>
    <dxf>
      <font>
        <name val="Aptos"/>
        <scheme val="none"/>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font>
        <name val="Aptos Display"/>
        <scheme val="maj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
      <alignment horizontal="center"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rgb="FF00B0F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theme="1"/>
        <name val="Aptos"/>
        <family val="2"/>
        <scheme val="none"/>
      </font>
    </dxf>
    <dxf>
      <font>
        <strike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numFmt numFmtId="0" formatCode="General"/>
    </dxf>
    <dxf>
      <font>
        <b val="0"/>
        <i val="0"/>
        <strike val="0"/>
        <condense val="0"/>
        <extend val="0"/>
        <outline val="0"/>
        <shadow val="0"/>
        <u val="none"/>
        <vertAlign val="baseline"/>
        <sz val="11"/>
        <color theme="1"/>
        <name val="Aptos"/>
        <family val="2"/>
        <scheme val="none"/>
      </font>
      <numFmt numFmtId="0" formatCode="General"/>
    </dxf>
    <dxf>
      <numFmt numFmtId="19" formatCode="dd/mm/yyyy"/>
    </dxf>
    <dxf>
      <alignment horizontal="center" vertical="bottom" textRotation="0" wrapText="0" indent="0" justifyLastLine="0" shrinkToFit="0" readingOrder="0"/>
    </dxf>
    <dxf>
      <font>
        <b/>
        <i val="0"/>
        <strike val="0"/>
        <condense val="0"/>
        <extend val="0"/>
        <outline val="0"/>
        <shadow val="0"/>
        <u val="none"/>
        <vertAlign val="baseline"/>
        <sz val="12"/>
        <color theme="1"/>
        <name val="Aptos Display"/>
        <family val="2"/>
        <scheme val="major"/>
      </font>
      <fill>
        <patternFill patternType="solid">
          <fgColor indexed="64"/>
          <bgColor rgb="FF00B0F0"/>
        </patternFill>
      </fill>
    </dxf>
    <dxf>
      <font>
        <color rgb="FFFFFF00"/>
      </font>
    </dxf>
  </dxfs>
  <tableStyles count="1" defaultTableStyle="TableStyleMedium2" defaultPivotStyle="PivotStyleLight16">
    <tableStyle name="Table Style 1" pivot="0" count="1" xr9:uid="{36875DA9-1F6D-4333-B6C4-473C202DA159}">
      <tableStyleElement type="wholeTable" dxfId="46"/>
    </tableStyle>
  </tableStyles>
  <colors>
    <mruColors>
      <color rgb="FF54EA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[Sales_Analysis-Performnce.xlsx]PIVOTE!PivotTable2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rgbClr val="FF0000"/>
                </a:solidFill>
              </a:rPr>
              <a:t>Pivot_Sale's</a:t>
            </a:r>
            <a:r>
              <a:rPr lang="en-IN" baseline="0">
                <a:solidFill>
                  <a:srgbClr val="FF0000"/>
                </a:solidFill>
              </a:rPr>
              <a:t> Data</a:t>
            </a:r>
            <a:endParaRPr lang="en-IN">
              <a:solidFill>
                <a:srgbClr val="FF0000"/>
              </a:solidFill>
            </a:endParaRPr>
          </a:p>
        </c:rich>
      </c:tx>
      <c:layout>
        <c:manualLayout>
          <c:xMode val="edge"/>
          <c:yMode val="edge"/>
          <c:x val="0.35579756601406037"/>
          <c:y val="4.6633125728642588E-2"/>
        </c:manualLayout>
      </c:layout>
      <c:overlay val="0"/>
      <c:spPr>
        <a:solidFill>
          <a:schemeClr val="tx1">
            <a:lumMod val="75000"/>
            <a:lumOff val="2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PIVOTE!$B$2:$B$3</c:f>
              <c:strCache>
                <c:ptCount val="1"/>
                <c:pt idx="0">
                  <c:v>electronics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PIVOTE!$A$4:$A$8</c:f>
              <c:strCache>
                <c:ptCount val="4"/>
                <c:pt idx="0">
                  <c:v>EAST</c:v>
                </c:pt>
                <c:pt idx="1">
                  <c:v>North</c:v>
                </c:pt>
                <c:pt idx="2">
                  <c:v>south</c:v>
                </c:pt>
                <c:pt idx="3">
                  <c:v>west</c:v>
                </c:pt>
              </c:strCache>
            </c:strRef>
          </c:cat>
          <c:val>
            <c:numRef>
              <c:f>PIVOTE!$B$4:$B$8</c:f>
              <c:numCache>
                <c:formatCode>General</c:formatCode>
                <c:ptCount val="4"/>
                <c:pt idx="0">
                  <c:v>293600</c:v>
                </c:pt>
                <c:pt idx="1">
                  <c:v>177100</c:v>
                </c:pt>
                <c:pt idx="2">
                  <c:v>125000</c:v>
                </c:pt>
                <c:pt idx="3">
                  <c:v>165000</c:v>
                </c:pt>
              </c:numCache>
            </c:numRef>
          </c:val>
          <c:extLst>
            <c:ext xmlns:c16="http://schemas.microsoft.com/office/drawing/2014/chart" uri="{C3380CC4-5D6E-409C-BE32-E72D297353CC}">
              <c16:uniqueId val="{00000000-567A-478F-BD7C-E94A123DB182}"/>
            </c:ext>
          </c:extLst>
        </c:ser>
        <c:ser>
          <c:idx val="1"/>
          <c:order val="1"/>
          <c:tx>
            <c:strRef>
              <c:f>PIVOTE!$C$2:$C$3</c:f>
              <c:strCache>
                <c:ptCount val="1"/>
                <c:pt idx="0">
                  <c:v>Furniture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PIVOTE!$A$4:$A$8</c:f>
              <c:strCache>
                <c:ptCount val="4"/>
                <c:pt idx="0">
                  <c:v>EAST</c:v>
                </c:pt>
                <c:pt idx="1">
                  <c:v>North</c:v>
                </c:pt>
                <c:pt idx="2">
                  <c:v>south</c:v>
                </c:pt>
                <c:pt idx="3">
                  <c:v>west</c:v>
                </c:pt>
              </c:strCache>
            </c:strRef>
          </c:cat>
          <c:val>
            <c:numRef>
              <c:f>PIVOTE!$C$4:$C$8</c:f>
              <c:numCache>
                <c:formatCode>General</c:formatCode>
                <c:ptCount val="4"/>
                <c:pt idx="0">
                  <c:v>157200</c:v>
                </c:pt>
                <c:pt idx="1">
                  <c:v>229000</c:v>
                </c:pt>
                <c:pt idx="2">
                  <c:v>157300</c:v>
                </c:pt>
                <c:pt idx="3">
                  <c:v>156100</c:v>
                </c:pt>
              </c:numCache>
            </c:numRef>
          </c:val>
          <c:extLst>
            <c:ext xmlns:c16="http://schemas.microsoft.com/office/drawing/2014/chart" uri="{C3380CC4-5D6E-409C-BE32-E72D297353CC}">
              <c16:uniqueId val="{00000001-B4FB-48BA-B212-0F8F1633D9F1}"/>
            </c:ext>
          </c:extLst>
        </c:ser>
        <c:ser>
          <c:idx val="2"/>
          <c:order val="2"/>
          <c:tx>
            <c:strRef>
              <c:f>PIVOTE!$D$2:$D$3</c:f>
              <c:strCache>
                <c:ptCount val="1"/>
                <c:pt idx="0">
                  <c:v>Office Supplies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PIVOTE!$A$4:$A$8</c:f>
              <c:strCache>
                <c:ptCount val="4"/>
                <c:pt idx="0">
                  <c:v>EAST</c:v>
                </c:pt>
                <c:pt idx="1">
                  <c:v>North</c:v>
                </c:pt>
                <c:pt idx="2">
                  <c:v>south</c:v>
                </c:pt>
                <c:pt idx="3">
                  <c:v>west</c:v>
                </c:pt>
              </c:strCache>
            </c:strRef>
          </c:cat>
          <c:val>
            <c:numRef>
              <c:f>PIVOTE!$D$4:$D$8</c:f>
              <c:numCache>
                <c:formatCode>General</c:formatCode>
                <c:ptCount val="4"/>
                <c:pt idx="0">
                  <c:v>21430</c:v>
                </c:pt>
                <c:pt idx="1">
                  <c:v>54050</c:v>
                </c:pt>
                <c:pt idx="2">
                  <c:v>44450</c:v>
                </c:pt>
                <c:pt idx="3">
                  <c:v>25430</c:v>
                </c:pt>
              </c:numCache>
            </c:numRef>
          </c:val>
          <c:extLst>
            <c:ext xmlns:c16="http://schemas.microsoft.com/office/drawing/2014/chart" uri="{C3380CC4-5D6E-409C-BE32-E72D297353CC}">
              <c16:uniqueId val="{00000002-B4FB-48BA-B212-0F8F1633D9F1}"/>
            </c:ext>
          </c:extLst>
        </c:ser>
        <c:dLbls>
          <c:showLegendKey val="0"/>
          <c:showVal val="1"/>
          <c:showCatName val="0"/>
          <c:showSerName val="0"/>
          <c:showPercent val="0"/>
          <c:showBubbleSize val="0"/>
        </c:dLbls>
        <c:gapWidth val="150"/>
        <c:shape val="box"/>
        <c:axId val="1082000687"/>
        <c:axId val="1081305135"/>
        <c:axId val="0"/>
      </c:bar3DChart>
      <c:catAx>
        <c:axId val="10820006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000">
                    <a:solidFill>
                      <a:srgbClr val="FF0000"/>
                    </a:solidFill>
                  </a:rPr>
                  <a:t>Region's</a:t>
                </a:r>
              </a:p>
            </c:rich>
          </c:tx>
          <c:layout>
            <c:manualLayout>
              <c:xMode val="edge"/>
              <c:yMode val="edge"/>
              <c:x val="0.42025161781708392"/>
              <c:y val="0.8998001882781281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1305135"/>
        <c:crosses val="autoZero"/>
        <c:auto val="1"/>
        <c:lblAlgn val="ctr"/>
        <c:lblOffset val="100"/>
        <c:noMultiLvlLbl val="0"/>
      </c:catAx>
      <c:valAx>
        <c:axId val="108130513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solidFill>
                      <a:srgbClr val="FF0000"/>
                    </a:solidFill>
                  </a:rPr>
                  <a:t>Total--Sale's</a:t>
                </a:r>
              </a:p>
            </c:rich>
          </c:tx>
          <c:layout>
            <c:manualLayout>
              <c:xMode val="edge"/>
              <c:yMode val="edge"/>
              <c:x val="1.5288713910761155E-2"/>
              <c:y val="0.3862846865044481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00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601980</xdr:colOff>
      <xdr:row>0</xdr:row>
      <xdr:rowOff>0</xdr:rowOff>
    </xdr:from>
    <xdr:to>
      <xdr:col>19</xdr:col>
      <xdr:colOff>586740</xdr:colOff>
      <xdr:row>16</xdr:row>
      <xdr:rowOff>167640</xdr:rowOff>
    </xdr:to>
    <xdr:graphicFrame macro="">
      <xdr:nvGraphicFramePr>
        <xdr:cNvPr id="2" name="Chart 1">
          <a:extLst>
            <a:ext uri="{FF2B5EF4-FFF2-40B4-BE49-F238E27FC236}">
              <a16:creationId xmlns:a16="http://schemas.microsoft.com/office/drawing/2014/main" id="{52A319BC-A183-D98B-FFAB-1AE659B43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243840</xdr:colOff>
      <xdr:row>11</xdr:row>
      <xdr:rowOff>0</xdr:rowOff>
    </xdr:from>
    <xdr:to>
      <xdr:col>1</xdr:col>
      <xdr:colOff>990600</xdr:colOff>
      <xdr:row>25</xdr:row>
      <xdr:rowOff>20955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B29266C-8A88-BC81-75D6-7E060E42E7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840" y="2125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11</xdr:row>
      <xdr:rowOff>0</xdr:rowOff>
    </xdr:from>
    <xdr:to>
      <xdr:col>4</xdr:col>
      <xdr:colOff>274320</xdr:colOff>
      <xdr:row>25</xdr:row>
      <xdr:rowOff>20955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30C10F1-03CE-6E61-291F-BA16085AF91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09800" y="2125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ndra chevuri" refreshedDate="46296.432477662034" createdVersion="8" refreshedVersion="8" minRefreshableVersion="3" recordCount="150" xr:uid="{A1DC6661-4F9A-415C-A523-C945E8843CFB}">
  <cacheSource type="worksheet">
    <worksheetSource name="Sales_Data"/>
  </cacheSource>
  <cacheFields count="9">
    <cacheField name="Order ID" numFmtId="0">
      <sharedItems/>
    </cacheField>
    <cacheField name="Date" numFmtId="14">
      <sharedItems containsSemiMixedTypes="0" containsNonDate="0" containsDate="1" containsString="0" minDate="2026-09-01T00:00:00" maxDate="2026-11-15T00:00:00"/>
    </cacheField>
    <cacheField name="Region" numFmtId="0">
      <sharedItems count="4">
        <s v="south"/>
        <s v="North"/>
        <s v="EAST"/>
        <s v="west"/>
      </sharedItems>
    </cacheField>
    <cacheField name="Sales Rep" numFmtId="0">
      <sharedItems/>
    </cacheField>
    <cacheField name="Category" numFmtId="0">
      <sharedItems count="3">
        <s v="electronics"/>
        <s v="Office Supplies"/>
        <s v="Furniture"/>
      </sharedItems>
    </cacheField>
    <cacheField name="Product" numFmtId="0">
      <sharedItems count="60">
        <s v="wireless mouse"/>
        <s v="notebook"/>
        <s v="office chair"/>
        <s v="keyboard"/>
        <s v="pen set"/>
        <s v="office table"/>
        <s v="usb cable"/>
        <s v="file folder"/>
        <s v="bookshelf"/>
        <s v="monitor"/>
        <s v="stapler"/>
        <s v="visitor chair"/>
        <s v="headphones"/>
        <s v="whiteboard"/>
        <s v="filing cabinet"/>
        <s v="webcam"/>
        <s v="calculator"/>
        <s v="conference table"/>
        <s v="printer"/>
        <s v="diary"/>
        <s v="executive chair"/>
        <s v="laptop stand"/>
        <s v="highlighter"/>
        <s v="desk"/>
        <s v="speaker"/>
        <s v="clipboard"/>
        <s v="visitor table"/>
        <s v="external hard drive"/>
        <s v="ink cartridge"/>
        <s v="reception desk"/>
        <s v="flash drive"/>
        <s v="sticky notes"/>
        <s v="metal rack"/>
        <s v="tablet"/>
        <s v="envelope pack"/>
        <s v="coffee table"/>
        <s v="bluetooth speaker"/>
        <s v="desk organizer"/>
        <s v="wooden cabinet"/>
        <s v="laser printer"/>
        <s v="ledger book"/>
        <s v="ergonomic chair"/>
        <s v="phone charger"/>
        <s v="scissors"/>
        <s v="visitor sofa"/>
        <s v="desk lamp"/>
        <s v="marker set"/>
        <s v="steel cupboard"/>
        <s v="smart watch"/>
        <s v="printer paper"/>
        <s v="office sofa"/>
        <s v="network router"/>
        <s v="binder clips"/>
        <s v="round table"/>
        <s v="desktop computer"/>
        <s v="notepad"/>
        <s v="revolving chair"/>
        <s v="power bank"/>
        <s v="paper clips"/>
        <s v="wooden desk"/>
      </sharedItems>
    </cacheField>
    <cacheField name="Quantity" numFmtId="0">
      <sharedItems containsSemiMixedTypes="0" containsString="0" containsNumber="1" containsInteger="1" minValue="1" maxValue="40"/>
    </cacheField>
    <cacheField name="Unit Price" numFmtId="0">
      <sharedItems containsSemiMixedTypes="0" containsString="0" containsNumber="1" containsInteger="1" minValue="35" maxValue="42000"/>
    </cacheField>
    <cacheField name="Total Sale" numFmtId="0">
      <sharedItems containsSemiMixedTypes="0" containsString="0" containsNumber="1" containsInteger="1" minValue="900" maxValue="84000"/>
    </cacheField>
  </cacheFields>
  <extLst>
    <ext xmlns:x14="http://schemas.microsoft.com/office/spreadsheetml/2009/9/main" uri="{725AE2AE-9491-48be-B2B4-4EB974FC3084}">
      <x14:pivotCacheDefinition pivotCacheId="1283896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ORD1001"/>
    <d v="2026-09-01T00:00:00"/>
    <x v="0"/>
    <s v="rajesh kumar"/>
    <x v="0"/>
    <x v="0"/>
    <n v="4"/>
    <n v="650"/>
    <n v="2600"/>
  </r>
  <r>
    <s v="ORD1002"/>
    <d v="2026-09-01T00:00:00"/>
    <x v="1"/>
    <s v="Priya Sharma"/>
    <x v="1"/>
    <x v="1"/>
    <n v="10"/>
    <n v="120"/>
    <n v="1200"/>
  </r>
  <r>
    <s v="ORD1003"/>
    <d v="2026-09-02T00:00:00"/>
    <x v="2"/>
    <s v="amit verma"/>
    <x v="2"/>
    <x v="2"/>
    <n v="2"/>
    <n v="4500"/>
    <n v="9000"/>
  </r>
  <r>
    <s v="ORD1004"/>
    <d v="2026-09-02T00:00:00"/>
    <x v="3"/>
    <s v="Neha Patel"/>
    <x v="0"/>
    <x v="3"/>
    <n v="5"/>
    <n v="850"/>
    <n v="4250"/>
  </r>
  <r>
    <s v="ORD1005"/>
    <d v="2026-09-03T00:00:00"/>
    <x v="0"/>
    <s v="ARUN REDDY"/>
    <x v="1"/>
    <x v="4"/>
    <n v="15"/>
    <n v="80"/>
    <n v="1200"/>
  </r>
  <r>
    <s v="ORD1006"/>
    <d v="2026-09-03T00:00:00"/>
    <x v="1"/>
    <s v="Sneha Rao"/>
    <x v="2"/>
    <x v="5"/>
    <n v="1"/>
    <n v="7500"/>
    <n v="7500"/>
  </r>
  <r>
    <s v="ORD1007"/>
    <d v="2026-09-04T00:00:00"/>
    <x v="2"/>
    <s v="rahul singh"/>
    <x v="0"/>
    <x v="6"/>
    <n v="8"/>
    <n v="300"/>
    <n v="2400"/>
  </r>
  <r>
    <s v="ORD1008"/>
    <d v="2026-09-04T00:00:00"/>
    <x v="3"/>
    <s v="kavya mehta"/>
    <x v="1"/>
    <x v="7"/>
    <n v="20"/>
    <n v="60"/>
    <n v="1200"/>
  </r>
  <r>
    <s v="ORD1009"/>
    <d v="2026-09-05T00:00:00"/>
    <x v="0"/>
    <s v="Vikram Das"/>
    <x v="2"/>
    <x v="8"/>
    <n v="2"/>
    <n v="5200"/>
    <n v="10400"/>
  </r>
  <r>
    <s v="ORD1010"/>
    <d v="2026-09-05T00:00:00"/>
    <x v="1"/>
    <s v="pooja nair"/>
    <x v="0"/>
    <x v="9"/>
    <n v="3"/>
    <n v="12500"/>
    <n v="37500"/>
  </r>
  <r>
    <s v="ORD1011"/>
    <d v="2026-09-06T00:00:00"/>
    <x v="2"/>
    <s v="Ramesh Kumar"/>
    <x v="1"/>
    <x v="10"/>
    <n v="7"/>
    <n v="180"/>
    <n v="1260"/>
  </r>
  <r>
    <s v="ORD1012"/>
    <d v="2026-09-06T00:00:00"/>
    <x v="3"/>
    <s v="Anjali Singh"/>
    <x v="2"/>
    <x v="11"/>
    <n v="6"/>
    <n v="2200"/>
    <n v="13200"/>
  </r>
  <r>
    <s v="ORD1013"/>
    <d v="2026-09-07T00:00:00"/>
    <x v="0"/>
    <s v="mahesh reddy"/>
    <x v="0"/>
    <x v="12"/>
    <n v="4"/>
    <n v="1800"/>
    <n v="7200"/>
  </r>
  <r>
    <s v="ORD1014"/>
    <d v="2026-09-07T00:00:00"/>
    <x v="1"/>
    <s v="Divya Patel"/>
    <x v="1"/>
    <x v="13"/>
    <n v="2"/>
    <n v="2500"/>
    <n v="5000"/>
  </r>
  <r>
    <s v="ORD1015"/>
    <d v="2026-09-08T00:00:00"/>
    <x v="2"/>
    <s v="karan shah"/>
    <x v="2"/>
    <x v="14"/>
    <n v="2"/>
    <n v="6800"/>
    <n v="13600"/>
  </r>
  <r>
    <s v="ORD1016"/>
    <d v="2026-09-08T00:00:00"/>
    <x v="3"/>
    <s v="Swathi Rao"/>
    <x v="0"/>
    <x v="15"/>
    <n v="3"/>
    <n v="3200"/>
    <n v="9600"/>
  </r>
  <r>
    <s v="ORD1017"/>
    <d v="2026-09-09T00:00:00"/>
    <x v="0"/>
    <s v="suresh kumar"/>
    <x v="1"/>
    <x v="16"/>
    <n v="5"/>
    <n v="450"/>
    <n v="2250"/>
  </r>
  <r>
    <s v="ORD1018"/>
    <d v="2026-09-09T00:00:00"/>
    <x v="1"/>
    <s v="Meena Devi"/>
    <x v="2"/>
    <x v="17"/>
    <n v="1"/>
    <n v="14500"/>
    <n v="14500"/>
  </r>
  <r>
    <s v="ORD1019"/>
    <d v="2026-09-10T00:00:00"/>
    <x v="2"/>
    <s v="Ajay Verma"/>
    <x v="0"/>
    <x v="18"/>
    <n v="2"/>
    <n v="8500"/>
    <n v="17000"/>
  </r>
  <r>
    <s v="ORD1020"/>
    <d v="2026-09-10T00:00:00"/>
    <x v="3"/>
    <s v="ravi nair"/>
    <x v="1"/>
    <x v="19"/>
    <n v="12"/>
    <n v="250"/>
    <n v="3000"/>
  </r>
  <r>
    <s v="ORD1021"/>
    <d v="2026-09-11T00:00:00"/>
    <x v="0"/>
    <s v="Priya Sharma"/>
    <x v="2"/>
    <x v="20"/>
    <n v="2"/>
    <n v="8500"/>
    <n v="17000"/>
  </r>
  <r>
    <s v="ORD1022"/>
    <d v="2026-09-11T00:00:00"/>
    <x v="1"/>
    <s v="rahul singh"/>
    <x v="0"/>
    <x v="21"/>
    <n v="4"/>
    <n v="2200"/>
    <n v="8800"/>
  </r>
  <r>
    <s v="ORD1023"/>
    <d v="2026-09-12T00:00:00"/>
    <x v="2"/>
    <s v="Neha Patel"/>
    <x v="1"/>
    <x v="22"/>
    <n v="18"/>
    <n v="70"/>
    <n v="1260"/>
  </r>
  <r>
    <s v="ORD1024"/>
    <d v="2026-09-12T00:00:00"/>
    <x v="3"/>
    <s v="amit verma"/>
    <x v="2"/>
    <x v="23"/>
    <n v="2"/>
    <n v="9200"/>
    <n v="18400"/>
  </r>
  <r>
    <s v="ORD1025"/>
    <d v="2026-09-13T00:00:00"/>
    <x v="0"/>
    <s v="kavya mehta"/>
    <x v="0"/>
    <x v="24"/>
    <n v="3"/>
    <n v="2800"/>
    <n v="8400"/>
  </r>
  <r>
    <s v="ORD1026"/>
    <d v="2026-09-13T00:00:00"/>
    <x v="1"/>
    <s v="ARUN REDDY"/>
    <x v="1"/>
    <x v="25"/>
    <n v="10"/>
    <n v="90"/>
    <n v="900"/>
  </r>
  <r>
    <s v="ORD1027"/>
    <d v="2026-09-14T00:00:00"/>
    <x v="2"/>
    <s v="rajesh kumar"/>
    <x v="2"/>
    <x v="26"/>
    <n v="3"/>
    <n v="3200"/>
    <n v="9600"/>
  </r>
  <r>
    <s v="ORD1028"/>
    <d v="2026-09-14T00:00:00"/>
    <x v="3"/>
    <s v="Sneha Rao"/>
    <x v="0"/>
    <x v="27"/>
    <n v="2"/>
    <n v="6500"/>
    <n v="13000"/>
  </r>
  <r>
    <s v="ORD1029"/>
    <d v="2026-09-15T00:00:00"/>
    <x v="0"/>
    <s v="Anjali Singh"/>
    <x v="1"/>
    <x v="28"/>
    <n v="5"/>
    <n v="1450"/>
    <n v="7250"/>
  </r>
  <r>
    <s v="ORD1030"/>
    <d v="2026-09-15T00:00:00"/>
    <x v="1"/>
    <s v="Vikram Das"/>
    <x v="2"/>
    <x v="29"/>
    <n v="1"/>
    <n v="18500"/>
    <n v="18500"/>
  </r>
  <r>
    <s v="ORD1031"/>
    <d v="2026-09-16T00:00:00"/>
    <x v="2"/>
    <s v="pooja nair"/>
    <x v="0"/>
    <x v="30"/>
    <n v="10"/>
    <n v="700"/>
    <n v="7000"/>
  </r>
  <r>
    <s v="ORD1032"/>
    <d v="2026-09-16T00:00:00"/>
    <x v="3"/>
    <s v="Ramesh Kumar"/>
    <x v="1"/>
    <x v="31"/>
    <n v="25"/>
    <n v="50"/>
    <n v="1250"/>
  </r>
  <r>
    <s v="ORD1033"/>
    <d v="2026-09-17T00:00:00"/>
    <x v="0"/>
    <s v="mahesh reddy"/>
    <x v="2"/>
    <x v="32"/>
    <n v="3"/>
    <n v="4800"/>
    <n v="14400"/>
  </r>
  <r>
    <s v="ORD1034"/>
    <d v="2026-09-17T00:00:00"/>
    <x v="1"/>
    <s v="Divya Patel"/>
    <x v="0"/>
    <x v="33"/>
    <n v="2"/>
    <n v="18500"/>
    <n v="37000"/>
  </r>
  <r>
    <s v="ORD1035"/>
    <d v="2026-09-18T00:00:00"/>
    <x v="2"/>
    <s v="karan shah"/>
    <x v="1"/>
    <x v="34"/>
    <n v="15"/>
    <n v="110"/>
    <n v="1650"/>
  </r>
  <r>
    <s v="ORD1036"/>
    <d v="2026-09-18T00:00:00"/>
    <x v="3"/>
    <s v="Swathi Rao"/>
    <x v="2"/>
    <x v="35"/>
    <n v="2"/>
    <n v="4200"/>
    <n v="8400"/>
  </r>
  <r>
    <s v="ORD1037"/>
    <d v="2026-09-19T00:00:00"/>
    <x v="0"/>
    <s v="suresh kumar"/>
    <x v="0"/>
    <x v="36"/>
    <n v="4"/>
    <n v="2100"/>
    <n v="8400"/>
  </r>
  <r>
    <s v="ORD1038"/>
    <d v="2026-09-19T00:00:00"/>
    <x v="1"/>
    <s v="Meena Devi"/>
    <x v="1"/>
    <x v="37"/>
    <n v="8"/>
    <n v="350"/>
    <n v="2800"/>
  </r>
  <r>
    <s v="ORD1039"/>
    <d v="2026-09-20T00:00:00"/>
    <x v="2"/>
    <s v="Ajay Verma"/>
    <x v="2"/>
    <x v="38"/>
    <n v="2"/>
    <n v="7200"/>
    <n v="14400"/>
  </r>
  <r>
    <s v="ORD1040"/>
    <d v="2026-09-20T00:00:00"/>
    <x v="3"/>
    <s v="ravi nair"/>
    <x v="0"/>
    <x v="39"/>
    <n v="1"/>
    <n v="15500"/>
    <n v="15500"/>
  </r>
  <r>
    <s v="ORD1041"/>
    <d v="2026-09-21T00:00:00"/>
    <x v="0"/>
    <s v="Priya Sharma"/>
    <x v="1"/>
    <x v="40"/>
    <n v="10"/>
    <n v="180"/>
    <n v="1800"/>
  </r>
  <r>
    <s v="ORD1042"/>
    <d v="2026-09-21T00:00:00"/>
    <x v="1"/>
    <s v="rahul singh"/>
    <x v="2"/>
    <x v="41"/>
    <n v="3"/>
    <n v="7800"/>
    <n v="23400"/>
  </r>
  <r>
    <s v="ORD1043"/>
    <d v="2026-09-22T00:00:00"/>
    <x v="2"/>
    <s v="Neha Patel"/>
    <x v="0"/>
    <x v="42"/>
    <n v="7"/>
    <n v="900"/>
    <n v="6300"/>
  </r>
  <r>
    <s v="ORD1044"/>
    <d v="2026-09-22T00:00:00"/>
    <x v="3"/>
    <s v="amit verma"/>
    <x v="1"/>
    <x v="43"/>
    <n v="12"/>
    <n v="140"/>
    <n v="1680"/>
  </r>
  <r>
    <s v="ORD1045"/>
    <d v="2026-09-23T00:00:00"/>
    <x v="0"/>
    <s v="kavya mehta"/>
    <x v="2"/>
    <x v="44"/>
    <n v="1"/>
    <n v="12500"/>
    <n v="12500"/>
  </r>
  <r>
    <s v="ORD1046"/>
    <d v="2026-09-23T00:00:00"/>
    <x v="1"/>
    <s v="ARUN REDDY"/>
    <x v="0"/>
    <x v="45"/>
    <n v="6"/>
    <n v="750"/>
    <n v="4500"/>
  </r>
  <r>
    <s v="ORD1047"/>
    <d v="2026-09-24T00:00:00"/>
    <x v="2"/>
    <s v="rajesh kumar"/>
    <x v="1"/>
    <x v="46"/>
    <n v="10"/>
    <n v="220"/>
    <n v="2200"/>
  </r>
  <r>
    <s v="ORD1048"/>
    <d v="2026-09-24T00:00:00"/>
    <x v="3"/>
    <s v="Sneha Rao"/>
    <x v="2"/>
    <x v="47"/>
    <n v="2"/>
    <n v="8900"/>
    <n v="17800"/>
  </r>
  <r>
    <s v="ORD1049"/>
    <d v="2026-09-25T00:00:00"/>
    <x v="0"/>
    <s v="Anjali Singh"/>
    <x v="0"/>
    <x v="48"/>
    <n v="3"/>
    <n v="5500"/>
    <n v="16500"/>
  </r>
  <r>
    <s v="ORD1050"/>
    <d v="2026-09-25T00:00:00"/>
    <x v="1"/>
    <s v="Vikram Das"/>
    <x v="1"/>
    <x v="49"/>
    <n v="30"/>
    <n v="280"/>
    <n v="8400"/>
  </r>
  <r>
    <s v="ORD1051"/>
    <d v="2026-09-26T00:00:00"/>
    <x v="2"/>
    <s v="pooja nair"/>
    <x v="2"/>
    <x v="50"/>
    <n v="2"/>
    <n v="11500"/>
    <n v="23000"/>
  </r>
  <r>
    <s v="ORD1052"/>
    <d v="2026-09-26T00:00:00"/>
    <x v="3"/>
    <s v="Ramesh Kumar"/>
    <x v="0"/>
    <x v="51"/>
    <n v="4"/>
    <n v="3200"/>
    <n v="12800"/>
  </r>
  <r>
    <s v="ORD1053"/>
    <d v="2026-09-27T00:00:00"/>
    <x v="0"/>
    <s v="mahesh reddy"/>
    <x v="1"/>
    <x v="52"/>
    <n v="20"/>
    <n v="45"/>
    <n v="900"/>
  </r>
  <r>
    <s v="ORD1054"/>
    <d v="2026-09-27T00:00:00"/>
    <x v="1"/>
    <s v="Divya Patel"/>
    <x v="2"/>
    <x v="53"/>
    <n v="2"/>
    <n v="5600"/>
    <n v="11200"/>
  </r>
  <r>
    <s v="ORD1055"/>
    <d v="2026-09-28T00:00:00"/>
    <x v="2"/>
    <s v="karan shah"/>
    <x v="0"/>
    <x v="54"/>
    <n v="1"/>
    <n v="42000"/>
    <n v="42000"/>
  </r>
  <r>
    <s v="ORD1056"/>
    <d v="2026-09-28T00:00:00"/>
    <x v="3"/>
    <s v="Swathi Rao"/>
    <x v="1"/>
    <x v="55"/>
    <n v="15"/>
    <n v="90"/>
    <n v="1350"/>
  </r>
  <r>
    <s v="ORD1057"/>
    <d v="2026-09-29T00:00:00"/>
    <x v="0"/>
    <s v="suresh kumar"/>
    <x v="2"/>
    <x v="56"/>
    <n v="4"/>
    <n v="3900"/>
    <n v="15600"/>
  </r>
  <r>
    <s v="ORD1058"/>
    <d v="2026-09-29T00:00:00"/>
    <x v="1"/>
    <s v="Meena Devi"/>
    <x v="0"/>
    <x v="57"/>
    <n v="5"/>
    <n v="1600"/>
    <n v="8000"/>
  </r>
  <r>
    <s v="ORD1059"/>
    <d v="2026-09-30T00:00:00"/>
    <x v="2"/>
    <s v="Ajay Verma"/>
    <x v="1"/>
    <x v="58"/>
    <n v="30"/>
    <n v="35"/>
    <n v="1050"/>
  </r>
  <r>
    <s v="ORD1060"/>
    <d v="2026-09-30T00:00:00"/>
    <x v="3"/>
    <s v="ravi nair"/>
    <x v="2"/>
    <x v="59"/>
    <n v="1"/>
    <n v="9800"/>
    <n v="9800"/>
  </r>
  <r>
    <s v="ORD1061"/>
    <d v="2026-10-01T00:00:00"/>
    <x v="0"/>
    <s v="Priya Sharma"/>
    <x v="0"/>
    <x v="3"/>
    <n v="6"/>
    <n v="850"/>
    <n v="5100"/>
  </r>
  <r>
    <s v="ORD1062"/>
    <d v="2026-10-01T00:00:00"/>
    <x v="1"/>
    <s v="rahul singh"/>
    <x v="1"/>
    <x v="1"/>
    <n v="20"/>
    <n v="120"/>
    <n v="2400"/>
  </r>
  <r>
    <s v="ORD1063"/>
    <d v="2026-10-02T00:00:00"/>
    <x v="2"/>
    <s v="Neha Patel"/>
    <x v="2"/>
    <x v="2"/>
    <n v="3"/>
    <n v="4500"/>
    <n v="13500"/>
  </r>
  <r>
    <s v="ORD1064"/>
    <d v="2026-10-02T00:00:00"/>
    <x v="3"/>
    <s v="amit verma"/>
    <x v="0"/>
    <x v="0"/>
    <n v="8"/>
    <n v="650"/>
    <n v="5200"/>
  </r>
  <r>
    <s v="ORD1065"/>
    <d v="2026-10-03T00:00:00"/>
    <x v="0"/>
    <s v="kavya mehta"/>
    <x v="1"/>
    <x v="4"/>
    <n v="25"/>
    <n v="80"/>
    <n v="2000"/>
  </r>
  <r>
    <s v="ORD1066"/>
    <d v="2026-10-03T00:00:00"/>
    <x v="1"/>
    <s v="ARUN REDDY"/>
    <x v="2"/>
    <x v="5"/>
    <n v="2"/>
    <n v="7500"/>
    <n v="15000"/>
  </r>
  <r>
    <s v="ORD1067"/>
    <d v="2026-10-04T00:00:00"/>
    <x v="2"/>
    <s v="rajesh kumar"/>
    <x v="0"/>
    <x v="9"/>
    <n v="2"/>
    <n v="12500"/>
    <n v="25000"/>
  </r>
  <r>
    <s v="ORD1068"/>
    <d v="2026-10-04T00:00:00"/>
    <x v="3"/>
    <s v="Sneha Rao"/>
    <x v="1"/>
    <x v="7"/>
    <n v="30"/>
    <n v="60"/>
    <n v="1800"/>
  </r>
  <r>
    <s v="ORD1069"/>
    <d v="2026-10-05T00:00:00"/>
    <x v="0"/>
    <s v="Anjali Singh"/>
    <x v="2"/>
    <x v="8"/>
    <n v="1"/>
    <n v="5200"/>
    <n v="5200"/>
  </r>
  <r>
    <s v="ORD1070"/>
    <d v="2026-10-05T00:00:00"/>
    <x v="1"/>
    <s v="Vikram Das"/>
    <x v="0"/>
    <x v="12"/>
    <n v="5"/>
    <n v="1800"/>
    <n v="9000"/>
  </r>
  <r>
    <s v="ORD1071"/>
    <d v="2026-10-06T00:00:00"/>
    <x v="2"/>
    <s v="pooja nair"/>
    <x v="1"/>
    <x v="10"/>
    <n v="10"/>
    <n v="180"/>
    <n v="1800"/>
  </r>
  <r>
    <s v="ORD1072"/>
    <d v="2026-10-06T00:00:00"/>
    <x v="3"/>
    <s v="Ramesh Kumar"/>
    <x v="2"/>
    <x v="11"/>
    <n v="4"/>
    <n v="2200"/>
    <n v="8800"/>
  </r>
  <r>
    <s v="ORD1073"/>
    <d v="2026-10-07T00:00:00"/>
    <x v="0"/>
    <s v="mahesh reddy"/>
    <x v="0"/>
    <x v="6"/>
    <n v="15"/>
    <n v="300"/>
    <n v="4500"/>
  </r>
  <r>
    <s v="ORD1074"/>
    <d v="2026-10-07T00:00:00"/>
    <x v="1"/>
    <s v="Divya Patel"/>
    <x v="1"/>
    <x v="13"/>
    <n v="3"/>
    <n v="2500"/>
    <n v="7500"/>
  </r>
  <r>
    <s v="ORD1075"/>
    <d v="2026-10-08T00:00:00"/>
    <x v="2"/>
    <s v="karan shah"/>
    <x v="2"/>
    <x v="14"/>
    <n v="1"/>
    <n v="6800"/>
    <n v="6800"/>
  </r>
  <r>
    <s v="ORD1076"/>
    <d v="2026-10-08T00:00:00"/>
    <x v="3"/>
    <s v="Swathi Rao"/>
    <x v="0"/>
    <x v="15"/>
    <n v="4"/>
    <n v="3200"/>
    <n v="12800"/>
  </r>
  <r>
    <s v="ORD1077"/>
    <d v="2026-10-09T00:00:00"/>
    <x v="0"/>
    <s v="suresh kumar"/>
    <x v="1"/>
    <x v="16"/>
    <n v="8"/>
    <n v="450"/>
    <n v="3600"/>
  </r>
  <r>
    <s v="ORD1078"/>
    <d v="2026-10-09T00:00:00"/>
    <x v="1"/>
    <s v="Meena Devi"/>
    <x v="2"/>
    <x v="17"/>
    <n v="2"/>
    <n v="14500"/>
    <n v="29000"/>
  </r>
  <r>
    <s v="ORD1079"/>
    <d v="2026-10-10T00:00:00"/>
    <x v="2"/>
    <s v="Ajay Verma"/>
    <x v="0"/>
    <x v="18"/>
    <n v="3"/>
    <n v="8500"/>
    <n v="25500"/>
  </r>
  <r>
    <s v="ORD1080"/>
    <d v="2026-10-10T00:00:00"/>
    <x v="3"/>
    <s v="ravi nair"/>
    <x v="1"/>
    <x v="19"/>
    <n v="20"/>
    <n v="250"/>
    <n v="5000"/>
  </r>
  <r>
    <s v="ORD1081"/>
    <d v="2026-10-11T00:00:00"/>
    <x v="0"/>
    <s v="Priya Sharma"/>
    <x v="2"/>
    <x v="20"/>
    <n v="1"/>
    <n v="8500"/>
    <n v="8500"/>
  </r>
  <r>
    <s v="ORD1082"/>
    <d v="2026-10-11T00:00:00"/>
    <x v="1"/>
    <s v="rahul singh"/>
    <x v="0"/>
    <x v="21"/>
    <n v="6"/>
    <n v="2200"/>
    <n v="13200"/>
  </r>
  <r>
    <s v="ORD1083"/>
    <d v="2026-10-12T00:00:00"/>
    <x v="2"/>
    <s v="Neha Patel"/>
    <x v="1"/>
    <x v="22"/>
    <n v="25"/>
    <n v="70"/>
    <n v="1750"/>
  </r>
  <r>
    <s v="ORD1084"/>
    <d v="2026-10-12T00:00:00"/>
    <x v="3"/>
    <s v="amit verma"/>
    <x v="2"/>
    <x v="23"/>
    <n v="1"/>
    <n v="9200"/>
    <n v="9200"/>
  </r>
  <r>
    <s v="ORD1085"/>
    <d v="2026-10-13T00:00:00"/>
    <x v="0"/>
    <s v="kavya mehta"/>
    <x v="0"/>
    <x v="24"/>
    <n v="5"/>
    <n v="2800"/>
    <n v="14000"/>
  </r>
  <r>
    <s v="ORD1086"/>
    <d v="2026-10-13T00:00:00"/>
    <x v="1"/>
    <s v="ARUN REDDY"/>
    <x v="1"/>
    <x v="25"/>
    <n v="15"/>
    <n v="90"/>
    <n v="1350"/>
  </r>
  <r>
    <s v="ORD1087"/>
    <d v="2026-10-14T00:00:00"/>
    <x v="2"/>
    <s v="rajesh kumar"/>
    <x v="2"/>
    <x v="26"/>
    <n v="2"/>
    <n v="3200"/>
    <n v="6400"/>
  </r>
  <r>
    <s v="ORD1088"/>
    <d v="2026-10-14T00:00:00"/>
    <x v="3"/>
    <s v="Sneha Rao"/>
    <x v="0"/>
    <x v="27"/>
    <n v="3"/>
    <n v="6500"/>
    <n v="19500"/>
  </r>
  <r>
    <s v="ORD1089"/>
    <d v="2026-10-15T00:00:00"/>
    <x v="0"/>
    <s v="Anjali Singh"/>
    <x v="1"/>
    <x v="28"/>
    <n v="4"/>
    <n v="1450"/>
    <n v="5800"/>
  </r>
  <r>
    <s v="ORD1090"/>
    <d v="2026-10-15T00:00:00"/>
    <x v="1"/>
    <s v="Vikram Das"/>
    <x v="2"/>
    <x v="29"/>
    <n v="1"/>
    <n v="18500"/>
    <n v="18500"/>
  </r>
  <r>
    <s v="ORD1091"/>
    <d v="2026-10-16T00:00:00"/>
    <x v="2"/>
    <s v="pooja nair"/>
    <x v="0"/>
    <x v="30"/>
    <n v="12"/>
    <n v="700"/>
    <n v="8400"/>
  </r>
  <r>
    <s v="ORD1092"/>
    <d v="2026-10-16T00:00:00"/>
    <x v="3"/>
    <s v="Ramesh Kumar"/>
    <x v="1"/>
    <x v="31"/>
    <n v="20"/>
    <n v="50"/>
    <n v="1000"/>
  </r>
  <r>
    <s v="ORD1093"/>
    <d v="2026-10-17T00:00:00"/>
    <x v="0"/>
    <s v="mahesh reddy"/>
    <x v="2"/>
    <x v="32"/>
    <n v="2"/>
    <n v="4800"/>
    <n v="9600"/>
  </r>
  <r>
    <s v="ORD1094"/>
    <d v="2026-10-17T00:00:00"/>
    <x v="1"/>
    <s v="Divya Patel"/>
    <x v="0"/>
    <x v="33"/>
    <n v="1"/>
    <n v="18500"/>
    <n v="18500"/>
  </r>
  <r>
    <s v="ORD1095"/>
    <d v="2026-10-18T00:00:00"/>
    <x v="2"/>
    <s v="karan shah"/>
    <x v="1"/>
    <x v="34"/>
    <n v="20"/>
    <n v="110"/>
    <n v="2200"/>
  </r>
  <r>
    <s v="ORD1096"/>
    <d v="2026-10-18T00:00:00"/>
    <x v="3"/>
    <s v="Swathi Rao"/>
    <x v="2"/>
    <x v="35"/>
    <n v="3"/>
    <n v="4200"/>
    <n v="12600"/>
  </r>
  <r>
    <s v="ORD1097"/>
    <d v="2026-10-19T00:00:00"/>
    <x v="0"/>
    <s v="suresh kumar"/>
    <x v="0"/>
    <x v="36"/>
    <n v="6"/>
    <n v="2100"/>
    <n v="12600"/>
  </r>
  <r>
    <s v="ORD1098"/>
    <d v="2026-10-19T00:00:00"/>
    <x v="1"/>
    <s v="Meena Devi"/>
    <x v="1"/>
    <x v="37"/>
    <n v="10"/>
    <n v="350"/>
    <n v="3500"/>
  </r>
  <r>
    <s v="ORD1099"/>
    <d v="2026-10-20T00:00:00"/>
    <x v="2"/>
    <s v="Ajay Verma"/>
    <x v="2"/>
    <x v="38"/>
    <n v="1"/>
    <n v="7200"/>
    <n v="7200"/>
  </r>
  <r>
    <s v="ORD1100"/>
    <d v="2026-10-20T00:00:00"/>
    <x v="3"/>
    <s v="ravi nair"/>
    <x v="0"/>
    <x v="39"/>
    <n v="2"/>
    <n v="15500"/>
    <n v="31000"/>
  </r>
  <r>
    <s v="ORD1101"/>
    <d v="2026-10-21T00:00:00"/>
    <x v="0"/>
    <s v="Priya Sharma"/>
    <x v="1"/>
    <x v="40"/>
    <n v="15"/>
    <n v="180"/>
    <n v="2700"/>
  </r>
  <r>
    <s v="ORD1102"/>
    <d v="2026-10-21T00:00:00"/>
    <x v="1"/>
    <s v="rahul singh"/>
    <x v="2"/>
    <x v="41"/>
    <n v="2"/>
    <n v="7800"/>
    <n v="15600"/>
  </r>
  <r>
    <s v="ORD1103"/>
    <d v="2026-10-22T00:00:00"/>
    <x v="2"/>
    <s v="Neha Patel"/>
    <x v="0"/>
    <x v="42"/>
    <n v="10"/>
    <n v="900"/>
    <n v="9000"/>
  </r>
  <r>
    <s v="ORD1104"/>
    <d v="2026-10-22T00:00:00"/>
    <x v="3"/>
    <s v="amit verma"/>
    <x v="1"/>
    <x v="43"/>
    <n v="15"/>
    <n v="140"/>
    <n v="2100"/>
  </r>
  <r>
    <s v="ORD1105"/>
    <d v="2026-10-23T00:00:00"/>
    <x v="0"/>
    <s v="kavya mehta"/>
    <x v="2"/>
    <x v="44"/>
    <n v="2"/>
    <n v="12500"/>
    <n v="25000"/>
  </r>
  <r>
    <s v="ORD1106"/>
    <d v="2026-10-23T00:00:00"/>
    <x v="1"/>
    <s v="ARUN REDDY"/>
    <x v="0"/>
    <x v="45"/>
    <n v="8"/>
    <n v="750"/>
    <n v="6000"/>
  </r>
  <r>
    <s v="ORD1107"/>
    <d v="2026-10-24T00:00:00"/>
    <x v="2"/>
    <s v="rajesh kumar"/>
    <x v="1"/>
    <x v="46"/>
    <n v="15"/>
    <n v="220"/>
    <n v="3300"/>
  </r>
  <r>
    <s v="ORD1108"/>
    <d v="2026-10-24T00:00:00"/>
    <x v="3"/>
    <s v="Sneha Rao"/>
    <x v="2"/>
    <x v="47"/>
    <n v="1"/>
    <n v="8900"/>
    <n v="8900"/>
  </r>
  <r>
    <s v="ORD1109"/>
    <d v="2026-10-25T00:00:00"/>
    <x v="0"/>
    <s v="Anjali Singh"/>
    <x v="0"/>
    <x v="48"/>
    <n v="4"/>
    <n v="5500"/>
    <n v="22000"/>
  </r>
  <r>
    <s v="ORD1110"/>
    <d v="2026-10-25T00:00:00"/>
    <x v="1"/>
    <s v="Vikram Das"/>
    <x v="1"/>
    <x v="49"/>
    <n v="40"/>
    <n v="280"/>
    <n v="11200"/>
  </r>
  <r>
    <s v="ORD1111"/>
    <d v="2026-10-26T00:00:00"/>
    <x v="2"/>
    <s v="pooja nair"/>
    <x v="2"/>
    <x v="50"/>
    <n v="1"/>
    <n v="11500"/>
    <n v="11500"/>
  </r>
  <r>
    <s v="ORD1112"/>
    <d v="2026-10-26T00:00:00"/>
    <x v="3"/>
    <s v="Ramesh Kumar"/>
    <x v="0"/>
    <x v="51"/>
    <n v="5"/>
    <n v="3200"/>
    <n v="16000"/>
  </r>
  <r>
    <s v="ORD1113"/>
    <d v="2026-10-27T00:00:00"/>
    <x v="0"/>
    <s v="mahesh reddy"/>
    <x v="1"/>
    <x v="52"/>
    <n v="30"/>
    <n v="45"/>
    <n v="1350"/>
  </r>
  <r>
    <s v="ORD1114"/>
    <d v="2026-10-27T00:00:00"/>
    <x v="1"/>
    <s v="Divya Patel"/>
    <x v="2"/>
    <x v="53"/>
    <n v="3"/>
    <n v="5600"/>
    <n v="16800"/>
  </r>
  <r>
    <s v="ORD1115"/>
    <d v="2026-10-28T00:00:00"/>
    <x v="2"/>
    <s v="karan shah"/>
    <x v="0"/>
    <x v="54"/>
    <n v="2"/>
    <n v="42000"/>
    <n v="84000"/>
  </r>
  <r>
    <s v="ORD1116"/>
    <d v="2026-10-28T00:00:00"/>
    <x v="3"/>
    <s v="Swathi Rao"/>
    <x v="1"/>
    <x v="55"/>
    <n v="20"/>
    <n v="90"/>
    <n v="1800"/>
  </r>
  <r>
    <s v="ORD1117"/>
    <d v="2026-10-29T00:00:00"/>
    <x v="0"/>
    <s v="suresh kumar"/>
    <x v="2"/>
    <x v="56"/>
    <n v="3"/>
    <n v="3900"/>
    <n v="11700"/>
  </r>
  <r>
    <s v="ORD1118"/>
    <d v="2026-10-29T00:00:00"/>
    <x v="1"/>
    <s v="Meena Devi"/>
    <x v="0"/>
    <x v="57"/>
    <n v="8"/>
    <n v="1600"/>
    <n v="12800"/>
  </r>
  <r>
    <s v="ORD1119"/>
    <d v="2026-10-30T00:00:00"/>
    <x v="2"/>
    <s v="Ajay Verma"/>
    <x v="1"/>
    <x v="58"/>
    <n v="40"/>
    <n v="35"/>
    <n v="1400"/>
  </r>
  <r>
    <s v="ORD1120"/>
    <d v="2026-10-30T00:00:00"/>
    <x v="3"/>
    <s v="ravi nair"/>
    <x v="2"/>
    <x v="59"/>
    <n v="2"/>
    <n v="9800"/>
    <n v="19600"/>
  </r>
  <r>
    <s v="ORD1121"/>
    <d v="2026-10-31T00:00:00"/>
    <x v="0"/>
    <s v="Priya Sharma"/>
    <x v="0"/>
    <x v="0"/>
    <n v="10"/>
    <n v="650"/>
    <n v="6500"/>
  </r>
  <r>
    <s v="ORD1122"/>
    <d v="2026-10-31T00:00:00"/>
    <x v="1"/>
    <s v="rahul singh"/>
    <x v="1"/>
    <x v="1"/>
    <n v="25"/>
    <n v="120"/>
    <n v="3000"/>
  </r>
  <r>
    <s v="ORD1123"/>
    <d v="2026-11-01T00:00:00"/>
    <x v="2"/>
    <s v="Neha Patel"/>
    <x v="2"/>
    <x v="2"/>
    <n v="2"/>
    <n v="4500"/>
    <n v="9000"/>
  </r>
  <r>
    <s v="ORD1124"/>
    <d v="2026-11-01T00:00:00"/>
    <x v="3"/>
    <s v="amit verma"/>
    <x v="0"/>
    <x v="3"/>
    <n v="7"/>
    <n v="850"/>
    <n v="5950"/>
  </r>
  <r>
    <s v="ORD1125"/>
    <d v="2026-11-02T00:00:00"/>
    <x v="0"/>
    <s v="kavya mehta"/>
    <x v="1"/>
    <x v="4"/>
    <n v="30"/>
    <n v="80"/>
    <n v="2400"/>
  </r>
  <r>
    <s v="ORD1126"/>
    <d v="2026-11-02T00:00:00"/>
    <x v="1"/>
    <s v="ARUN REDDY"/>
    <x v="2"/>
    <x v="5"/>
    <n v="1"/>
    <n v="7500"/>
    <n v="7500"/>
  </r>
  <r>
    <s v="ORD1127"/>
    <d v="2026-11-03T00:00:00"/>
    <x v="2"/>
    <s v="rajesh kumar"/>
    <x v="0"/>
    <x v="9"/>
    <n v="4"/>
    <n v="12500"/>
    <n v="50000"/>
  </r>
  <r>
    <s v="ORD1128"/>
    <d v="2026-11-03T00:00:00"/>
    <x v="3"/>
    <s v="Sneha Rao"/>
    <x v="1"/>
    <x v="7"/>
    <n v="25"/>
    <n v="60"/>
    <n v="1500"/>
  </r>
  <r>
    <s v="ORD1129"/>
    <d v="2026-11-04T00:00:00"/>
    <x v="0"/>
    <s v="Anjali Singh"/>
    <x v="2"/>
    <x v="8"/>
    <n v="2"/>
    <n v="5200"/>
    <n v="10400"/>
  </r>
  <r>
    <s v="ORD1130"/>
    <d v="2026-11-04T00:00:00"/>
    <x v="1"/>
    <s v="Vikram Das"/>
    <x v="0"/>
    <x v="12"/>
    <n v="6"/>
    <n v="1800"/>
    <n v="10800"/>
  </r>
  <r>
    <s v="ORD1131"/>
    <d v="2026-11-05T00:00:00"/>
    <x v="2"/>
    <s v="pooja nair"/>
    <x v="1"/>
    <x v="10"/>
    <n v="12"/>
    <n v="180"/>
    <n v="2160"/>
  </r>
  <r>
    <s v="ORD1132"/>
    <d v="2026-11-05T00:00:00"/>
    <x v="3"/>
    <s v="Ramesh Kumar"/>
    <x v="2"/>
    <x v="11"/>
    <n v="5"/>
    <n v="2200"/>
    <n v="11000"/>
  </r>
  <r>
    <s v="ORD1133"/>
    <d v="2026-11-06T00:00:00"/>
    <x v="0"/>
    <s v="mahesh reddy"/>
    <x v="0"/>
    <x v="6"/>
    <n v="20"/>
    <n v="300"/>
    <n v="6000"/>
  </r>
  <r>
    <s v="ORD1134"/>
    <d v="2026-11-06T00:00:00"/>
    <x v="1"/>
    <s v="Divya Patel"/>
    <x v="1"/>
    <x v="13"/>
    <n v="2"/>
    <n v="2500"/>
    <n v="5000"/>
  </r>
  <r>
    <s v="ORD1135"/>
    <d v="2026-11-07T00:00:00"/>
    <x v="2"/>
    <s v="karan shah"/>
    <x v="2"/>
    <x v="14"/>
    <n v="3"/>
    <n v="6800"/>
    <n v="20400"/>
  </r>
  <r>
    <s v="ORD1136"/>
    <d v="2026-11-07T00:00:00"/>
    <x v="3"/>
    <s v="Swathi Rao"/>
    <x v="0"/>
    <x v="15"/>
    <n v="2"/>
    <n v="3200"/>
    <n v="6400"/>
  </r>
  <r>
    <s v="ORD1137"/>
    <d v="2026-11-08T00:00:00"/>
    <x v="0"/>
    <s v="suresh kumar"/>
    <x v="1"/>
    <x v="16"/>
    <n v="10"/>
    <n v="450"/>
    <n v="4500"/>
  </r>
  <r>
    <s v="ORD1138"/>
    <d v="2026-11-08T00:00:00"/>
    <x v="1"/>
    <s v="Meena Devi"/>
    <x v="2"/>
    <x v="17"/>
    <n v="1"/>
    <n v="14500"/>
    <n v="14500"/>
  </r>
  <r>
    <s v="ORD1139"/>
    <d v="2026-11-09T00:00:00"/>
    <x v="2"/>
    <s v="Ajay Verma"/>
    <x v="0"/>
    <x v="18"/>
    <n v="2"/>
    <n v="8500"/>
    <n v="17000"/>
  </r>
  <r>
    <s v="ORD1140"/>
    <d v="2026-11-09T00:00:00"/>
    <x v="3"/>
    <s v="ravi nair"/>
    <x v="1"/>
    <x v="19"/>
    <n v="15"/>
    <n v="250"/>
    <n v="3750"/>
  </r>
  <r>
    <s v="ORD1141"/>
    <d v="2026-11-10T00:00:00"/>
    <x v="0"/>
    <s v="Priya Sharma"/>
    <x v="2"/>
    <x v="20"/>
    <n v="2"/>
    <n v="8500"/>
    <n v="17000"/>
  </r>
  <r>
    <s v="ORD1142"/>
    <d v="2026-11-10T00:00:00"/>
    <x v="1"/>
    <s v="rahul singh"/>
    <x v="0"/>
    <x v="21"/>
    <n v="5"/>
    <n v="2200"/>
    <n v="11000"/>
  </r>
  <r>
    <s v="ORD1143"/>
    <d v="2026-11-11T00:00:00"/>
    <x v="2"/>
    <s v="Neha Patel"/>
    <x v="1"/>
    <x v="22"/>
    <n v="20"/>
    <n v="70"/>
    <n v="1400"/>
  </r>
  <r>
    <s v="ORD1144"/>
    <d v="2026-11-11T00:00:00"/>
    <x v="3"/>
    <s v="amit verma"/>
    <x v="2"/>
    <x v="23"/>
    <n v="2"/>
    <n v="9200"/>
    <n v="18400"/>
  </r>
  <r>
    <s v="ORD1145"/>
    <d v="2026-11-12T00:00:00"/>
    <x v="0"/>
    <s v="kavya mehta"/>
    <x v="0"/>
    <x v="24"/>
    <n v="4"/>
    <n v="2800"/>
    <n v="11200"/>
  </r>
  <r>
    <s v="ORD1146"/>
    <d v="2026-11-12T00:00:00"/>
    <x v="1"/>
    <s v="ARUN REDDY"/>
    <x v="1"/>
    <x v="25"/>
    <n v="20"/>
    <n v="90"/>
    <n v="1800"/>
  </r>
  <r>
    <s v="ORD1147"/>
    <d v="2026-11-13T00:00:00"/>
    <x v="2"/>
    <s v="rajesh kumar"/>
    <x v="2"/>
    <x v="26"/>
    <n v="4"/>
    <n v="3200"/>
    <n v="12800"/>
  </r>
  <r>
    <s v="ORD1148"/>
    <d v="2026-11-13T00:00:00"/>
    <x v="3"/>
    <s v="Sneha Rao"/>
    <x v="0"/>
    <x v="27"/>
    <n v="2"/>
    <n v="6500"/>
    <n v="13000"/>
  </r>
  <r>
    <s v="ORD1149"/>
    <d v="2026-11-14T00:00:00"/>
    <x v="0"/>
    <s v="Anjali Singh"/>
    <x v="1"/>
    <x v="28"/>
    <n v="6"/>
    <n v="1450"/>
    <n v="8700"/>
  </r>
  <r>
    <s v="ORD1150"/>
    <d v="2026-11-14T00:00:00"/>
    <x v="1"/>
    <s v="Vikram Das"/>
    <x v="2"/>
    <x v="29"/>
    <n v="2"/>
    <n v="18500"/>
    <n v="3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7970C6-E89B-4E7C-8BE2-1686AD4278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E8" firstHeaderRow="1" firstDataRow="2" firstDataCol="1"/>
  <pivotFields count="9">
    <pivotField showAll="0"/>
    <pivotField numFmtId="14" showAll="0"/>
    <pivotField axis="axisRow" showAll="0">
      <items count="5">
        <item x="2"/>
        <item x="1"/>
        <item x="0"/>
        <item x="3"/>
        <item t="default"/>
      </items>
    </pivotField>
    <pivotField showAll="0"/>
    <pivotField axis="axisCol" showAll="0">
      <items count="4">
        <item x="0"/>
        <item x="2"/>
        <item x="1"/>
        <item t="default"/>
      </items>
    </pivotField>
    <pivotField showAll="0"/>
    <pivotField showAll="0"/>
    <pivotField showAll="0"/>
    <pivotField dataField="1" showAll="0"/>
  </pivotFields>
  <rowFields count="1">
    <field x="2"/>
  </rowFields>
  <rowItems count="5">
    <i>
      <x/>
    </i>
    <i>
      <x v="1"/>
    </i>
    <i>
      <x v="2"/>
    </i>
    <i>
      <x v="3"/>
    </i>
    <i t="grand">
      <x/>
    </i>
  </rowItems>
  <colFields count="1">
    <field x="4"/>
  </colFields>
  <colItems count="4">
    <i>
      <x/>
    </i>
    <i>
      <x v="1"/>
    </i>
    <i>
      <x v="2"/>
    </i>
    <i t="grand">
      <x/>
    </i>
  </colItems>
  <dataFields count="1">
    <dataField name="Sum of Total Sale" fld="8" baseField="0" baseItem="0"/>
  </dataFields>
  <formats count="8">
    <format dxfId="29">
      <pivotArea type="origin" dataOnly="0" labelOnly="1" outline="0" fieldPosition="0"/>
    </format>
    <format dxfId="28">
      <pivotArea field="4" type="button" dataOnly="0" labelOnly="1" outline="0" axis="axisCol" fieldPosition="0"/>
    </format>
    <format dxfId="27">
      <pivotArea type="topRight" dataOnly="0" labelOnly="1" outline="0" fieldPosition="0"/>
    </format>
    <format dxfId="26">
      <pivotArea field="2" type="button" dataOnly="0" labelOnly="1" outline="0" axis="axisRow" fieldPosition="0"/>
    </format>
    <format dxfId="25">
      <pivotArea dataOnly="0" labelOnly="1" fieldPosition="0">
        <references count="1">
          <reference field="4" count="0"/>
        </references>
      </pivotArea>
    </format>
    <format dxfId="24">
      <pivotArea dataOnly="0" labelOnly="1" grandCol="1" outline="0" fieldPosition="0"/>
    </format>
    <format dxfId="23">
      <pivotArea dataOnly="0" fieldPosition="0">
        <references count="1">
          <reference field="2" count="0"/>
        </references>
      </pivotArea>
    </format>
    <format dxfId="22">
      <pivotArea dataOnly="0" labelOnly="1" grandRow="1" outline="0" fieldPosition="0"/>
    </format>
  </formats>
  <chartFormats count="3">
    <chartFormat chart="17" format="0" series="1">
      <pivotArea type="data" outline="0" fieldPosition="0">
        <references count="2">
          <reference field="4294967294" count="1" selected="0">
            <x v="0"/>
          </reference>
          <reference field="4" count="1" selected="0">
            <x v="0"/>
          </reference>
        </references>
      </pivotArea>
    </chartFormat>
    <chartFormat chart="17" format="1" series="1">
      <pivotArea type="data" outline="0" fieldPosition="0">
        <references count="2">
          <reference field="4294967294" count="1" selected="0">
            <x v="0"/>
          </reference>
          <reference field="4" count="1" selected="0">
            <x v="1"/>
          </reference>
        </references>
      </pivotArea>
    </chartFormat>
    <chartFormat chart="17"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406E6F-0565-4CCD-9007-6D618FD2970F}" sourceName="Region">
  <pivotTables>
    <pivotTable tabId="2" name="PivotTable2"/>
  </pivotTables>
  <data>
    <tabular pivotCacheId="128389655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AE5494-4DD6-4002-9A7D-7FA34D39458B}" sourceName="Category">
  <pivotTables>
    <pivotTable tabId="2" name="PivotTable2"/>
  </pivotTables>
  <data>
    <tabular pivotCacheId="128389655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6B1207-E240-485B-B372-77393F78CADB}" cache="Slicer_Region" caption="Region" rowHeight="247650"/>
  <slicer name="Category" xr10:uid="{5DBE3654-8F72-4B6E-B9FD-E005F4FD893B}"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DDE3ED-F57A-460D-B770-A936FDE1A5A9}" name="Sales_Data" displayName="Sales_Data" ref="A1:I151" totalsRowShown="0" headerRowDxfId="35" dataDxfId="34">
  <autoFilter ref="A1:I151" xr:uid="{4ADDE3ED-F57A-460D-B770-A936FDE1A5A9}"/>
  <tableColumns count="9">
    <tableColumn id="1" xr3:uid="{70612797-3478-4DB4-AE54-F08AD0178DC9}" name="Order ID"/>
    <tableColumn id="2" xr3:uid="{E66F247D-B0A5-4E47-A6E5-5E4A3DA0710E}" name="Date" dataDxfId="33"/>
    <tableColumn id="3" xr3:uid="{782F8BEF-7BCD-4BEF-B34C-5F2210E01539}" name="Region"/>
    <tableColumn id="4" xr3:uid="{3D8DA75F-5DD6-41ED-B5E6-1759B8290F27}" name="Sales Rep"/>
    <tableColumn id="5" xr3:uid="{AD0D43ED-6581-412E-9335-A8D6AFDF9B13}" name="Category"/>
    <tableColumn id="6" xr3:uid="{0CE27603-D92E-4D8D-AD2D-DBDB86920263}" name="Product"/>
    <tableColumn id="7" xr3:uid="{11AF60A7-BEEB-4EB0-87B2-27D099443DFE}" name="Quantity" dataDxfId="32"/>
    <tableColumn id="8" xr3:uid="{D1D9A521-9C2F-44D1-905D-4841CC83A3A2}" name="Unit Price" dataDxfId="31"/>
    <tableColumn id="9" xr3:uid="{1880B183-D0A9-4C9F-B3BC-5C17ACE423EE}" name="Total Sale" dataDxfId="30"/>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0B25B8-BE24-43D0-AE87-C70F51A6EE0A}" name="Sales_Data2" displayName="Sales_Data2" ref="A2:I151" totalsRowShown="0" headerRowDxfId="45" dataDxfId="44">
  <autoFilter ref="A2:I151" xr:uid="{460B25B8-BE24-43D0-AE87-C70F51A6EE0A}"/>
  <tableColumns count="9">
    <tableColumn id="1" xr3:uid="{00F5F917-A88C-4DA6-9523-2ED6FBF0BE4E}" name="Order ID"/>
    <tableColumn id="2" xr3:uid="{9A63A99C-7254-4344-9542-34CC1A8C49F5}" name="Date" dataDxfId="43"/>
    <tableColumn id="3" xr3:uid="{E85F237A-5E28-48A9-BBAD-D1E53398F34B}" name="Region" dataDxfId="42">
      <calculatedColumnFormula>PROPER(TRIM(Sales_Data[[#This Row],[Region]]))</calculatedColumnFormula>
    </tableColumn>
    <tableColumn id="4" xr3:uid="{A2BFD18A-77AA-4960-9146-56A260C3B2CE}" name="Sales Rep" dataDxfId="41">
      <calculatedColumnFormula>PROPER(TRIM(Sales_Data[[#This Row],[Sales Rep]]))</calculatedColumnFormula>
    </tableColumn>
    <tableColumn id="5" xr3:uid="{2AC6E8B8-D206-4E69-85BB-E4D994531716}" name="Category" dataDxfId="40"/>
    <tableColumn id="6" xr3:uid="{F4B6E4A1-C58D-4F23-B6AB-032AD5D8D2D0}" name="Product" dataDxfId="39">
      <calculatedColumnFormula>PROPER(TRIM(Sales_Data[[#This Row],[Product]]))</calculatedColumnFormula>
    </tableColumn>
    <tableColumn id="7" xr3:uid="{691EE7A0-B96B-4787-B813-C60F7EBBACA7}" name="Quantity" dataDxfId="38"/>
    <tableColumn id="8" xr3:uid="{4C3BA8DD-9286-41C9-89E6-A520743729DA}" name="Unit Price" dataDxfId="37"/>
    <tableColumn id="9" xr3:uid="{4C006AB1-27EC-4DDC-82D5-03B6231D8F85}" name="Total Sale" dataDxfId="36"/>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9ADF8-F0F7-46DC-AB44-13B80E041C52}">
  <sheetPr codeName="Sheet1"/>
  <dimension ref="A1:V163"/>
  <sheetViews>
    <sheetView workbookViewId="0">
      <selection activeCell="M3" sqref="M3"/>
    </sheetView>
  </sheetViews>
  <sheetFormatPr defaultRowHeight="14.4" x14ac:dyDescent="0.3"/>
  <cols>
    <col min="1" max="1" width="10.6640625" customWidth="1"/>
    <col min="2" max="2" width="10.33203125" bestFit="1" customWidth="1"/>
    <col min="3" max="3" width="9.109375" customWidth="1"/>
    <col min="4" max="4" width="13.21875" bestFit="1" customWidth="1"/>
    <col min="5" max="5" width="15.21875" bestFit="1" customWidth="1"/>
    <col min="6" max="6" width="15.77734375" bestFit="1" customWidth="1"/>
    <col min="7" max="7" width="10.77734375" customWidth="1"/>
    <col min="8" max="8" width="11.88671875" customWidth="1"/>
    <col min="9" max="9" width="11.77734375" customWidth="1"/>
    <col min="11" max="11" width="8.109375" customWidth="1"/>
    <col min="12" max="12" width="14.33203125" bestFit="1" customWidth="1"/>
    <col min="13" max="13" width="9.21875" customWidth="1"/>
    <col min="15" max="15" width="15.77734375" bestFit="1" customWidth="1"/>
    <col min="16" max="16" width="16.33203125" bestFit="1" customWidth="1"/>
    <col min="17" max="17" width="10" bestFit="1" customWidth="1"/>
  </cols>
  <sheetData>
    <row r="1" spans="1:22" ht="23.4" customHeight="1" x14ac:dyDescent="0.35">
      <c r="A1" s="4" t="s">
        <v>0</v>
      </c>
      <c r="B1" s="4" t="s">
        <v>1</v>
      </c>
      <c r="C1" s="4" t="s">
        <v>2</v>
      </c>
      <c r="D1" s="4" t="s">
        <v>3</v>
      </c>
      <c r="E1" s="4" t="s">
        <v>4</v>
      </c>
      <c r="F1" s="4" t="s">
        <v>5</v>
      </c>
      <c r="G1" s="4" t="s">
        <v>6</v>
      </c>
      <c r="H1" s="4" t="s">
        <v>7</v>
      </c>
      <c r="I1" s="4" t="s">
        <v>8</v>
      </c>
      <c r="K1" s="7" t="s">
        <v>2</v>
      </c>
      <c r="L1" s="8" t="s">
        <v>3</v>
      </c>
      <c r="M1" s="9" t="s">
        <v>263</v>
      </c>
      <c r="O1" s="16"/>
    </row>
    <row r="2" spans="1:22" x14ac:dyDescent="0.3">
      <c r="A2" t="s">
        <v>14</v>
      </c>
      <c r="B2" s="1">
        <v>46266</v>
      </c>
      <c r="C2" t="s">
        <v>15</v>
      </c>
      <c r="D2" t="s">
        <v>16</v>
      </c>
      <c r="E2" t="s">
        <v>17</v>
      </c>
      <c r="F2" t="s">
        <v>18</v>
      </c>
      <c r="G2" s="3">
        <v>4</v>
      </c>
      <c r="H2" s="2">
        <v>650</v>
      </c>
      <c r="I2" s="2">
        <v>2600</v>
      </c>
      <c r="K2" s="5" t="str" cm="1">
        <f t="array" ref="K2:K151">PROPER(TRIM(Sales_Data[Region]))</f>
        <v>South</v>
      </c>
      <c r="L2" s="5" t="str" cm="1">
        <f t="array" ref="L2:L151">PROPER(TRIM(Sales_Data[Sales Rep]))</f>
        <v>Rajesh Kumar</v>
      </c>
      <c r="M2" s="6">
        <f>Sales_Data[[#This Row],[Quantity]]*Sales_Data[[#This Row],[Unit Price]]</f>
        <v>2600</v>
      </c>
    </row>
    <row r="3" spans="1:22" x14ac:dyDescent="0.3">
      <c r="A3" t="s">
        <v>19</v>
      </c>
      <c r="B3" s="1">
        <v>46266</v>
      </c>
      <c r="C3" t="s">
        <v>11</v>
      </c>
      <c r="D3" t="s">
        <v>20</v>
      </c>
      <c r="E3" t="s">
        <v>21</v>
      </c>
      <c r="F3" t="s">
        <v>22</v>
      </c>
      <c r="G3" s="3">
        <v>10</v>
      </c>
      <c r="H3" s="2">
        <v>120</v>
      </c>
      <c r="I3" s="2">
        <v>1200</v>
      </c>
      <c r="K3" s="5" t="str">
        <v>North</v>
      </c>
      <c r="L3" s="5" t="str">
        <v>Priya Sharma</v>
      </c>
      <c r="M3" s="6">
        <f>Sales_Data[[#This Row],[Quantity]]*Sales_Data[[#This Row],[Unit Price]]</f>
        <v>1200</v>
      </c>
    </row>
    <row r="4" spans="1:22" x14ac:dyDescent="0.3">
      <c r="A4" t="s">
        <v>23</v>
      </c>
      <c r="B4" s="1">
        <v>46267</v>
      </c>
      <c r="C4" t="s">
        <v>24</v>
      </c>
      <c r="D4" t="s">
        <v>25</v>
      </c>
      <c r="E4" t="s">
        <v>13</v>
      </c>
      <c r="F4" t="s">
        <v>26</v>
      </c>
      <c r="G4" s="3">
        <v>2</v>
      </c>
      <c r="H4" s="2">
        <v>4500</v>
      </c>
      <c r="I4" s="2">
        <v>9000</v>
      </c>
      <c r="K4" s="5" t="str">
        <v>East</v>
      </c>
      <c r="L4" s="5" t="str">
        <v>Amit Verma</v>
      </c>
      <c r="M4" s="6">
        <f>Sales_Data[[#This Row],[Quantity]]*Sales_Data[[#This Row],[Unit Price]]</f>
        <v>9000</v>
      </c>
    </row>
    <row r="5" spans="1:22" x14ac:dyDescent="0.3">
      <c r="A5" t="s">
        <v>27</v>
      </c>
      <c r="B5" s="1">
        <v>46267</v>
      </c>
      <c r="C5" t="s">
        <v>28</v>
      </c>
      <c r="D5" t="s">
        <v>29</v>
      </c>
      <c r="E5" t="s">
        <v>10</v>
      </c>
      <c r="F5" t="s">
        <v>30</v>
      </c>
      <c r="G5" s="3">
        <v>5</v>
      </c>
      <c r="H5" s="2">
        <v>850</v>
      </c>
      <c r="I5" s="2">
        <v>4250</v>
      </c>
      <c r="K5" s="5" t="str">
        <v>West</v>
      </c>
      <c r="L5" s="5" t="str">
        <v>Neha Patel</v>
      </c>
      <c r="M5" s="6">
        <f>Sales_Data[[#This Row],[Quantity]]*Sales_Data[[#This Row],[Unit Price]]</f>
        <v>4250</v>
      </c>
    </row>
    <row r="6" spans="1:22" x14ac:dyDescent="0.3">
      <c r="A6" t="s">
        <v>31</v>
      </c>
      <c r="B6" s="1">
        <v>46268</v>
      </c>
      <c r="C6" t="s">
        <v>9</v>
      </c>
      <c r="D6" t="s">
        <v>32</v>
      </c>
      <c r="E6" t="s">
        <v>21</v>
      </c>
      <c r="F6" t="s">
        <v>33</v>
      </c>
      <c r="G6" s="3">
        <v>15</v>
      </c>
      <c r="H6" s="2">
        <v>80</v>
      </c>
      <c r="I6" s="2">
        <v>1200</v>
      </c>
      <c r="K6" s="5" t="str">
        <v>South</v>
      </c>
      <c r="L6" s="5" t="str">
        <v>Arun Reddy</v>
      </c>
      <c r="M6" s="6">
        <f>Sales_Data[[#This Row],[Quantity]]*Sales_Data[[#This Row],[Unit Price]]</f>
        <v>1200</v>
      </c>
    </row>
    <row r="7" spans="1:22" x14ac:dyDescent="0.3">
      <c r="A7" t="s">
        <v>34</v>
      </c>
      <c r="B7" s="1">
        <v>46268</v>
      </c>
      <c r="C7" t="s">
        <v>35</v>
      </c>
      <c r="D7" t="s">
        <v>36</v>
      </c>
      <c r="E7" t="s">
        <v>13</v>
      </c>
      <c r="F7" t="s">
        <v>37</v>
      </c>
      <c r="G7" s="3">
        <v>1</v>
      </c>
      <c r="H7" s="2">
        <v>7500</v>
      </c>
      <c r="I7" s="2">
        <v>7500</v>
      </c>
      <c r="K7" s="5" t="str">
        <v>North</v>
      </c>
      <c r="L7" s="5" t="str">
        <v>Sneha Rao</v>
      </c>
      <c r="M7" s="6">
        <f>Sales_Data[[#This Row],[Quantity]]*Sales_Data[[#This Row],[Unit Price]]</f>
        <v>7500</v>
      </c>
    </row>
    <row r="8" spans="1:22" x14ac:dyDescent="0.3">
      <c r="A8" t="s">
        <v>38</v>
      </c>
      <c r="B8" s="1">
        <v>46269</v>
      </c>
      <c r="C8" t="s">
        <v>12</v>
      </c>
      <c r="D8" t="s">
        <v>39</v>
      </c>
      <c r="E8" t="s">
        <v>10</v>
      </c>
      <c r="F8" t="s">
        <v>40</v>
      </c>
      <c r="G8" s="3">
        <v>8</v>
      </c>
      <c r="H8" s="2">
        <v>300</v>
      </c>
      <c r="I8" s="2">
        <v>2400</v>
      </c>
      <c r="K8" s="5" t="str">
        <v>East</v>
      </c>
      <c r="L8" s="5" t="str">
        <v>Rahul Singh</v>
      </c>
      <c r="M8" s="6">
        <f>Sales_Data[[#This Row],[Quantity]]*Sales_Data[[#This Row],[Unit Price]]</f>
        <v>2400</v>
      </c>
    </row>
    <row r="9" spans="1:22" x14ac:dyDescent="0.3">
      <c r="A9" t="s">
        <v>41</v>
      </c>
      <c r="B9" s="1">
        <v>46269</v>
      </c>
      <c r="C9" t="s">
        <v>42</v>
      </c>
      <c r="D9" t="s">
        <v>43</v>
      </c>
      <c r="E9" t="s">
        <v>21</v>
      </c>
      <c r="F9" t="s">
        <v>44</v>
      </c>
      <c r="G9" s="2">
        <v>20</v>
      </c>
      <c r="H9" s="2">
        <v>60</v>
      </c>
      <c r="I9" s="2">
        <v>1200</v>
      </c>
      <c r="K9" s="5" t="str">
        <v>West</v>
      </c>
      <c r="L9" s="5" t="str">
        <v>Kavya Mehta</v>
      </c>
      <c r="M9" s="6">
        <f>Sales_Data[[#This Row],[Quantity]]*Sales_Data[[#This Row],[Unit Price]]</f>
        <v>1200</v>
      </c>
    </row>
    <row r="10" spans="1:22" x14ac:dyDescent="0.3">
      <c r="A10" t="s">
        <v>45</v>
      </c>
      <c r="B10" s="1">
        <v>46270</v>
      </c>
      <c r="C10" t="s">
        <v>15</v>
      </c>
      <c r="D10" t="s">
        <v>46</v>
      </c>
      <c r="E10" t="s">
        <v>13</v>
      </c>
      <c r="F10" t="s">
        <v>47</v>
      </c>
      <c r="G10" s="2">
        <v>2</v>
      </c>
      <c r="H10" s="2">
        <v>5200</v>
      </c>
      <c r="I10" s="2">
        <v>10400</v>
      </c>
      <c r="K10" s="5" t="str">
        <v>South</v>
      </c>
      <c r="L10" s="5" t="str">
        <v>Vikram Das</v>
      </c>
      <c r="M10" s="6">
        <f>Sales_Data[[#This Row],[Quantity]]*Sales_Data[[#This Row],[Unit Price]]</f>
        <v>10400</v>
      </c>
    </row>
    <row r="11" spans="1:22" x14ac:dyDescent="0.3">
      <c r="A11" t="s">
        <v>48</v>
      </c>
      <c r="B11" s="1">
        <v>46270</v>
      </c>
      <c r="C11" t="s">
        <v>11</v>
      </c>
      <c r="D11" t="s">
        <v>49</v>
      </c>
      <c r="E11" t="s">
        <v>10</v>
      </c>
      <c r="F11" t="s">
        <v>50</v>
      </c>
      <c r="G11" s="2">
        <v>3</v>
      </c>
      <c r="H11" s="2">
        <v>12500</v>
      </c>
      <c r="I11" s="2">
        <v>37500</v>
      </c>
      <c r="K11" s="5" t="str">
        <v>North</v>
      </c>
      <c r="L11" s="5" t="str">
        <v>Pooja Nair</v>
      </c>
      <c r="M11" s="6">
        <f>Sales_Data[[#This Row],[Quantity]]*Sales_Data[[#This Row],[Unit Price]]</f>
        <v>37500</v>
      </c>
    </row>
    <row r="12" spans="1:22" x14ac:dyDescent="0.3">
      <c r="A12" t="s">
        <v>51</v>
      </c>
      <c r="B12" s="1">
        <v>46271</v>
      </c>
      <c r="C12" t="s">
        <v>52</v>
      </c>
      <c r="D12" t="s">
        <v>53</v>
      </c>
      <c r="E12" t="s">
        <v>21</v>
      </c>
      <c r="F12" t="s">
        <v>54</v>
      </c>
      <c r="G12" s="2">
        <v>7</v>
      </c>
      <c r="H12" s="2">
        <v>180</v>
      </c>
      <c r="I12" s="2">
        <v>1260</v>
      </c>
      <c r="K12" s="5" t="str">
        <v>East</v>
      </c>
      <c r="L12" s="5" t="str">
        <v>Ramesh Kumar</v>
      </c>
      <c r="M12" s="6">
        <f>Sales_Data[[#This Row],[Quantity]]*Sales_Data[[#This Row],[Unit Price]]</f>
        <v>1260</v>
      </c>
    </row>
    <row r="13" spans="1:22" x14ac:dyDescent="0.3">
      <c r="A13" t="s">
        <v>55</v>
      </c>
      <c r="B13" s="1">
        <v>46271</v>
      </c>
      <c r="C13" t="s">
        <v>28</v>
      </c>
      <c r="D13" t="s">
        <v>56</v>
      </c>
      <c r="E13" t="s">
        <v>13</v>
      </c>
      <c r="F13" t="s">
        <v>57</v>
      </c>
      <c r="G13" s="2">
        <v>6</v>
      </c>
      <c r="H13" s="2">
        <v>2200</v>
      </c>
      <c r="I13" s="2">
        <v>13200</v>
      </c>
      <c r="K13" s="5" t="str">
        <v>West</v>
      </c>
      <c r="L13" s="5" t="str">
        <v>Anjali Singh</v>
      </c>
      <c r="M13" s="6">
        <f>Sales_Data[[#This Row],[Quantity]]*Sales_Data[[#This Row],[Unit Price]]</f>
        <v>13200</v>
      </c>
    </row>
    <row r="14" spans="1:22" x14ac:dyDescent="0.3">
      <c r="A14" t="s">
        <v>58</v>
      </c>
      <c r="B14" s="1">
        <v>46272</v>
      </c>
      <c r="C14" t="s">
        <v>59</v>
      </c>
      <c r="D14" t="s">
        <v>60</v>
      </c>
      <c r="E14" t="s">
        <v>10</v>
      </c>
      <c r="F14" t="s">
        <v>61</v>
      </c>
      <c r="G14" s="2">
        <v>4</v>
      </c>
      <c r="H14" s="2">
        <v>1800</v>
      </c>
      <c r="I14" s="2">
        <v>7200</v>
      </c>
      <c r="K14" s="5" t="str">
        <v>South</v>
      </c>
      <c r="L14" s="5" t="str">
        <v>Mahesh Reddy</v>
      </c>
      <c r="M14" s="6">
        <f>Sales_Data[[#This Row],[Quantity]]*Sales_Data[[#This Row],[Unit Price]]</f>
        <v>7200</v>
      </c>
      <c r="T14" s="3"/>
      <c r="U14" s="2"/>
      <c r="V14" s="2"/>
    </row>
    <row r="15" spans="1:22" x14ac:dyDescent="0.3">
      <c r="A15" t="s">
        <v>62</v>
      </c>
      <c r="B15" s="1">
        <v>46272</v>
      </c>
      <c r="C15" t="s">
        <v>35</v>
      </c>
      <c r="D15" t="s">
        <v>63</v>
      </c>
      <c r="E15" t="s">
        <v>21</v>
      </c>
      <c r="F15" t="s">
        <v>64</v>
      </c>
      <c r="G15" s="2">
        <v>2</v>
      </c>
      <c r="H15" s="2">
        <v>2500</v>
      </c>
      <c r="I15" s="2">
        <v>5000</v>
      </c>
      <c r="K15" s="5" t="str">
        <v>North</v>
      </c>
      <c r="L15" s="5" t="str">
        <v>Divya Patel</v>
      </c>
      <c r="M15" s="6">
        <f>Sales_Data[[#This Row],[Quantity]]*Sales_Data[[#This Row],[Unit Price]]</f>
        <v>5000</v>
      </c>
      <c r="T15" s="3"/>
      <c r="U15" s="2"/>
      <c r="V15" s="2"/>
    </row>
    <row r="16" spans="1:22" x14ac:dyDescent="0.3">
      <c r="A16" t="s">
        <v>65</v>
      </c>
      <c r="B16" s="1">
        <v>46273</v>
      </c>
      <c r="C16" t="s">
        <v>12</v>
      </c>
      <c r="D16" t="s">
        <v>66</v>
      </c>
      <c r="E16" t="s">
        <v>13</v>
      </c>
      <c r="F16" t="s">
        <v>67</v>
      </c>
      <c r="G16" s="2">
        <v>2</v>
      </c>
      <c r="H16" s="2">
        <v>6800</v>
      </c>
      <c r="I16" s="2">
        <v>13600</v>
      </c>
      <c r="K16" s="5" t="str">
        <v>East</v>
      </c>
      <c r="L16" s="5" t="str">
        <v>Karan Shah</v>
      </c>
      <c r="M16" s="6">
        <f>Sales_Data[[#This Row],[Quantity]]*Sales_Data[[#This Row],[Unit Price]]</f>
        <v>13600</v>
      </c>
      <c r="T16" s="3"/>
      <c r="U16" s="2"/>
      <c r="V16" s="2"/>
    </row>
    <row r="17" spans="1:22" x14ac:dyDescent="0.3">
      <c r="A17" t="s">
        <v>68</v>
      </c>
      <c r="B17" s="1">
        <v>46273</v>
      </c>
      <c r="C17" t="s">
        <v>42</v>
      </c>
      <c r="D17" t="s">
        <v>69</v>
      </c>
      <c r="E17" t="s">
        <v>10</v>
      </c>
      <c r="F17" t="s">
        <v>70</v>
      </c>
      <c r="G17" s="2">
        <v>3</v>
      </c>
      <c r="H17" s="2">
        <v>3200</v>
      </c>
      <c r="I17" s="2">
        <v>9600</v>
      </c>
      <c r="K17" s="5" t="str">
        <v>West</v>
      </c>
      <c r="L17" s="5" t="str">
        <v>Swathi Rao</v>
      </c>
      <c r="M17" s="6">
        <f>Sales_Data[[#This Row],[Quantity]]*Sales_Data[[#This Row],[Unit Price]]</f>
        <v>9600</v>
      </c>
      <c r="T17" s="3"/>
      <c r="U17" s="2"/>
      <c r="V17" s="2"/>
    </row>
    <row r="18" spans="1:22" x14ac:dyDescent="0.3">
      <c r="A18" t="s">
        <v>71</v>
      </c>
      <c r="B18" s="1">
        <v>46274</v>
      </c>
      <c r="C18" t="s">
        <v>15</v>
      </c>
      <c r="D18" t="s">
        <v>72</v>
      </c>
      <c r="E18" t="s">
        <v>21</v>
      </c>
      <c r="F18" t="s">
        <v>73</v>
      </c>
      <c r="G18" s="2">
        <v>5</v>
      </c>
      <c r="H18" s="2">
        <v>450</v>
      </c>
      <c r="I18" s="2">
        <v>2250</v>
      </c>
      <c r="K18" s="5" t="str">
        <v>South</v>
      </c>
      <c r="L18" s="5" t="str">
        <v>Suresh Kumar</v>
      </c>
      <c r="M18" s="6">
        <f>Sales_Data[[#This Row],[Quantity]]*Sales_Data[[#This Row],[Unit Price]]</f>
        <v>2250</v>
      </c>
      <c r="T18" s="3"/>
      <c r="U18" s="2"/>
      <c r="V18" s="2"/>
    </row>
    <row r="19" spans="1:22" x14ac:dyDescent="0.3">
      <c r="A19" t="s">
        <v>74</v>
      </c>
      <c r="B19" s="1">
        <v>46274</v>
      </c>
      <c r="C19" t="s">
        <v>11</v>
      </c>
      <c r="D19" t="s">
        <v>75</v>
      </c>
      <c r="E19" t="s">
        <v>13</v>
      </c>
      <c r="F19" t="s">
        <v>76</v>
      </c>
      <c r="G19" s="2">
        <v>1</v>
      </c>
      <c r="H19" s="2">
        <v>14500</v>
      </c>
      <c r="I19" s="2">
        <v>14500</v>
      </c>
      <c r="K19" s="5" t="str">
        <v>North</v>
      </c>
      <c r="L19" s="5" t="str">
        <v>Meena Devi</v>
      </c>
      <c r="M19" s="6">
        <f>Sales_Data[[#This Row],[Quantity]]*Sales_Data[[#This Row],[Unit Price]]</f>
        <v>14500</v>
      </c>
      <c r="T19" s="3"/>
      <c r="U19" s="2"/>
      <c r="V19" s="2"/>
    </row>
    <row r="20" spans="1:22" x14ac:dyDescent="0.3">
      <c r="A20" t="s">
        <v>77</v>
      </c>
      <c r="B20" s="1">
        <v>46275</v>
      </c>
      <c r="C20" t="s">
        <v>52</v>
      </c>
      <c r="D20" t="s">
        <v>78</v>
      </c>
      <c r="E20" t="s">
        <v>10</v>
      </c>
      <c r="F20" t="s">
        <v>79</v>
      </c>
      <c r="G20" s="2">
        <v>2</v>
      </c>
      <c r="H20" s="2">
        <v>8500</v>
      </c>
      <c r="I20" s="2">
        <v>17000</v>
      </c>
      <c r="K20" s="5" t="str">
        <v>East</v>
      </c>
      <c r="L20" s="5" t="str">
        <v>Ajay Verma</v>
      </c>
      <c r="M20" s="6">
        <f>Sales_Data[[#This Row],[Quantity]]*Sales_Data[[#This Row],[Unit Price]]</f>
        <v>17000</v>
      </c>
      <c r="T20" s="3"/>
      <c r="U20" s="2"/>
      <c r="V20" s="2"/>
    </row>
    <row r="21" spans="1:22" x14ac:dyDescent="0.3">
      <c r="A21" t="s">
        <v>80</v>
      </c>
      <c r="B21" s="1">
        <v>46275</v>
      </c>
      <c r="C21" t="s">
        <v>28</v>
      </c>
      <c r="D21" t="s">
        <v>81</v>
      </c>
      <c r="E21" t="s">
        <v>21</v>
      </c>
      <c r="F21" t="s">
        <v>82</v>
      </c>
      <c r="G21" s="2">
        <v>12</v>
      </c>
      <c r="H21" s="2">
        <v>250</v>
      </c>
      <c r="I21" s="2">
        <v>3000</v>
      </c>
      <c r="K21" s="5" t="str">
        <v>West</v>
      </c>
      <c r="L21" s="5" t="str">
        <v>Ravi Nair</v>
      </c>
      <c r="M21" s="6">
        <f>Sales_Data[[#This Row],[Quantity]]*Sales_Data[[#This Row],[Unit Price]]</f>
        <v>3000</v>
      </c>
      <c r="T21" s="2"/>
      <c r="U21" s="2"/>
      <c r="V21" s="2"/>
    </row>
    <row r="22" spans="1:22" x14ac:dyDescent="0.3">
      <c r="A22" t="s">
        <v>83</v>
      </c>
      <c r="B22" s="1">
        <v>46276</v>
      </c>
      <c r="C22" t="s">
        <v>9</v>
      </c>
      <c r="D22" t="s">
        <v>20</v>
      </c>
      <c r="E22" t="s">
        <v>13</v>
      </c>
      <c r="F22" t="s">
        <v>84</v>
      </c>
      <c r="G22" s="2">
        <v>2</v>
      </c>
      <c r="H22" s="2">
        <v>8500</v>
      </c>
      <c r="I22" s="2">
        <v>17000</v>
      </c>
      <c r="K22" s="5" t="str">
        <v>South</v>
      </c>
      <c r="L22" s="5" t="str">
        <v>Priya Sharma</v>
      </c>
      <c r="M22" s="6">
        <f>Sales_Data[[#This Row],[Quantity]]*Sales_Data[[#This Row],[Unit Price]]</f>
        <v>17000</v>
      </c>
      <c r="T22" s="2"/>
      <c r="U22" s="2"/>
      <c r="V22" s="2"/>
    </row>
    <row r="23" spans="1:22" x14ac:dyDescent="0.3">
      <c r="A23" t="s">
        <v>85</v>
      </c>
      <c r="B23" s="1">
        <v>46276</v>
      </c>
      <c r="C23" t="s">
        <v>35</v>
      </c>
      <c r="D23" t="s">
        <v>39</v>
      </c>
      <c r="E23" t="s">
        <v>10</v>
      </c>
      <c r="F23" t="s">
        <v>86</v>
      </c>
      <c r="G23" s="2">
        <v>4</v>
      </c>
      <c r="H23" s="2">
        <v>2200</v>
      </c>
      <c r="I23" s="2">
        <v>8800</v>
      </c>
      <c r="K23" s="5" t="str">
        <v>North</v>
      </c>
      <c r="L23" s="5" t="str">
        <v>Rahul Singh</v>
      </c>
      <c r="M23" s="6">
        <f>Sales_Data[[#This Row],[Quantity]]*Sales_Data[[#This Row],[Unit Price]]</f>
        <v>8800</v>
      </c>
      <c r="T23" s="2"/>
      <c r="U23" s="2"/>
      <c r="V23" s="2"/>
    </row>
    <row r="24" spans="1:22" x14ac:dyDescent="0.3">
      <c r="A24" t="s">
        <v>87</v>
      </c>
      <c r="B24" s="1">
        <v>46277</v>
      </c>
      <c r="C24" t="s">
        <v>12</v>
      </c>
      <c r="D24" t="s">
        <v>29</v>
      </c>
      <c r="E24" t="s">
        <v>21</v>
      </c>
      <c r="F24" t="s">
        <v>88</v>
      </c>
      <c r="G24" s="2">
        <v>18</v>
      </c>
      <c r="H24" s="2">
        <v>70</v>
      </c>
      <c r="I24" s="2">
        <v>1260</v>
      </c>
      <c r="K24" s="5" t="str">
        <v>East</v>
      </c>
      <c r="L24" s="5" t="str">
        <v>Neha Patel</v>
      </c>
      <c r="M24" s="6">
        <f>Sales_Data[[#This Row],[Quantity]]*Sales_Data[[#This Row],[Unit Price]]</f>
        <v>1260</v>
      </c>
      <c r="T24" s="2"/>
      <c r="U24" s="2"/>
      <c r="V24" s="2"/>
    </row>
    <row r="25" spans="1:22" x14ac:dyDescent="0.3">
      <c r="A25" t="s">
        <v>89</v>
      </c>
      <c r="B25" s="1">
        <v>46277</v>
      </c>
      <c r="C25" t="s">
        <v>42</v>
      </c>
      <c r="D25" t="s">
        <v>25</v>
      </c>
      <c r="E25" t="s">
        <v>13</v>
      </c>
      <c r="F25" t="s">
        <v>90</v>
      </c>
      <c r="G25" s="2">
        <v>2</v>
      </c>
      <c r="H25" s="2">
        <v>9200</v>
      </c>
      <c r="I25" s="2">
        <v>18400</v>
      </c>
      <c r="K25" s="5" t="str">
        <v>West</v>
      </c>
      <c r="L25" s="5" t="str">
        <v>Amit Verma</v>
      </c>
      <c r="M25" s="6">
        <f>Sales_Data[[#This Row],[Quantity]]*Sales_Data[[#This Row],[Unit Price]]</f>
        <v>18400</v>
      </c>
      <c r="T25" s="2"/>
      <c r="U25" s="2"/>
      <c r="V25" s="2"/>
    </row>
    <row r="26" spans="1:22" x14ac:dyDescent="0.3">
      <c r="A26" t="s">
        <v>91</v>
      </c>
      <c r="B26" s="1">
        <v>46278</v>
      </c>
      <c r="C26" t="s">
        <v>15</v>
      </c>
      <c r="D26" t="s">
        <v>92</v>
      </c>
      <c r="E26" t="s">
        <v>10</v>
      </c>
      <c r="F26" t="s">
        <v>93</v>
      </c>
      <c r="G26" s="2">
        <v>3</v>
      </c>
      <c r="H26" s="2">
        <v>2800</v>
      </c>
      <c r="I26" s="2">
        <v>8400</v>
      </c>
      <c r="K26" s="5" t="str">
        <v>South</v>
      </c>
      <c r="L26" s="5" t="str">
        <v>Kavya Mehta</v>
      </c>
      <c r="M26" s="6">
        <f>Sales_Data[[#This Row],[Quantity]]*Sales_Data[[#This Row],[Unit Price]]</f>
        <v>8400</v>
      </c>
      <c r="T26" s="2"/>
      <c r="U26" s="2"/>
      <c r="V26" s="2"/>
    </row>
    <row r="27" spans="1:22" x14ac:dyDescent="0.3">
      <c r="A27" t="s">
        <v>94</v>
      </c>
      <c r="B27" s="1">
        <v>46278</v>
      </c>
      <c r="C27" t="s">
        <v>11</v>
      </c>
      <c r="D27" t="s">
        <v>95</v>
      </c>
      <c r="E27" t="s">
        <v>21</v>
      </c>
      <c r="F27" t="s">
        <v>96</v>
      </c>
      <c r="G27" s="2">
        <v>10</v>
      </c>
      <c r="H27" s="2">
        <v>90</v>
      </c>
      <c r="I27" s="2">
        <v>900</v>
      </c>
      <c r="K27" s="5" t="str">
        <v>North</v>
      </c>
      <c r="L27" s="5" t="str">
        <v>Arun Reddy</v>
      </c>
      <c r="M27" s="6">
        <f>Sales_Data[[#This Row],[Quantity]]*Sales_Data[[#This Row],[Unit Price]]</f>
        <v>900</v>
      </c>
      <c r="T27" s="2"/>
      <c r="U27" s="2"/>
      <c r="V27" s="2"/>
    </row>
    <row r="28" spans="1:22" x14ac:dyDescent="0.3">
      <c r="A28" t="s">
        <v>97</v>
      </c>
      <c r="B28" s="1">
        <v>46279</v>
      </c>
      <c r="C28" t="s">
        <v>52</v>
      </c>
      <c r="D28" t="s">
        <v>98</v>
      </c>
      <c r="E28" t="s">
        <v>13</v>
      </c>
      <c r="F28" t="s">
        <v>99</v>
      </c>
      <c r="G28" s="2">
        <v>3</v>
      </c>
      <c r="H28" s="2">
        <v>3200</v>
      </c>
      <c r="I28" s="2">
        <v>9600</v>
      </c>
      <c r="K28" s="5" t="str">
        <v>East</v>
      </c>
      <c r="L28" s="5" t="str">
        <v>Rajesh Kumar</v>
      </c>
      <c r="M28" s="6">
        <f>Sales_Data[[#This Row],[Quantity]]*Sales_Data[[#This Row],[Unit Price]]</f>
        <v>9600</v>
      </c>
      <c r="T28" s="2"/>
      <c r="U28" s="2"/>
      <c r="V28" s="2"/>
    </row>
    <row r="29" spans="1:22" x14ac:dyDescent="0.3">
      <c r="A29" t="s">
        <v>100</v>
      </c>
      <c r="B29" s="1">
        <v>46279</v>
      </c>
      <c r="C29" t="s">
        <v>28</v>
      </c>
      <c r="D29" t="s">
        <v>36</v>
      </c>
      <c r="E29" t="s">
        <v>10</v>
      </c>
      <c r="F29" t="s">
        <v>101</v>
      </c>
      <c r="G29" s="2">
        <v>2</v>
      </c>
      <c r="H29" s="2">
        <v>6500</v>
      </c>
      <c r="I29" s="2">
        <v>13000</v>
      </c>
      <c r="K29" s="5" t="str">
        <v>West</v>
      </c>
      <c r="L29" s="5" t="str">
        <v>Sneha Rao</v>
      </c>
      <c r="M29" s="6">
        <f>Sales_Data[[#This Row],[Quantity]]*Sales_Data[[#This Row],[Unit Price]]</f>
        <v>13000</v>
      </c>
      <c r="T29" s="2"/>
      <c r="U29" s="2"/>
      <c r="V29" s="2"/>
    </row>
    <row r="30" spans="1:22" x14ac:dyDescent="0.3">
      <c r="A30" t="s">
        <v>102</v>
      </c>
      <c r="B30" s="1">
        <v>46280</v>
      </c>
      <c r="C30" t="s">
        <v>9</v>
      </c>
      <c r="D30" t="s">
        <v>56</v>
      </c>
      <c r="E30" t="s">
        <v>21</v>
      </c>
      <c r="F30" t="s">
        <v>103</v>
      </c>
      <c r="G30" s="2">
        <v>5</v>
      </c>
      <c r="H30" s="2">
        <v>1450</v>
      </c>
      <c r="I30" s="2">
        <v>7250</v>
      </c>
      <c r="K30" s="5" t="str">
        <v>South</v>
      </c>
      <c r="L30" s="5" t="str">
        <v>Anjali Singh</v>
      </c>
      <c r="M30" s="6">
        <f>Sales_Data[[#This Row],[Quantity]]*Sales_Data[[#This Row],[Unit Price]]</f>
        <v>7250</v>
      </c>
      <c r="T30" s="2"/>
      <c r="U30" s="2"/>
      <c r="V30" s="2"/>
    </row>
    <row r="31" spans="1:22" x14ac:dyDescent="0.3">
      <c r="A31" t="s">
        <v>104</v>
      </c>
      <c r="B31" s="1">
        <v>46280</v>
      </c>
      <c r="C31" t="s">
        <v>35</v>
      </c>
      <c r="D31" t="s">
        <v>46</v>
      </c>
      <c r="E31" t="s">
        <v>13</v>
      </c>
      <c r="F31" t="s">
        <v>105</v>
      </c>
      <c r="G31" s="2">
        <v>1</v>
      </c>
      <c r="H31" s="2">
        <v>18500</v>
      </c>
      <c r="I31" s="2">
        <v>18500</v>
      </c>
      <c r="K31" s="5" t="str">
        <v>North</v>
      </c>
      <c r="L31" s="5" t="str">
        <v>Vikram Das</v>
      </c>
      <c r="M31" s="6">
        <f>Sales_Data[[#This Row],[Quantity]]*Sales_Data[[#This Row],[Unit Price]]</f>
        <v>18500</v>
      </c>
      <c r="T31" s="2"/>
      <c r="U31" s="2"/>
      <c r="V31" s="2"/>
    </row>
    <row r="32" spans="1:22" x14ac:dyDescent="0.3">
      <c r="A32" t="s">
        <v>106</v>
      </c>
      <c r="B32" s="1">
        <v>46281</v>
      </c>
      <c r="C32" t="s">
        <v>12</v>
      </c>
      <c r="D32" t="s">
        <v>107</v>
      </c>
      <c r="E32" t="s">
        <v>10</v>
      </c>
      <c r="F32" t="s">
        <v>108</v>
      </c>
      <c r="G32" s="2">
        <v>10</v>
      </c>
      <c r="H32" s="2">
        <v>700</v>
      </c>
      <c r="I32" s="2">
        <v>7000</v>
      </c>
      <c r="K32" s="5" t="str">
        <v>East</v>
      </c>
      <c r="L32" s="5" t="str">
        <v>Pooja Nair</v>
      </c>
      <c r="M32" s="6">
        <f>Sales_Data[[#This Row],[Quantity]]*Sales_Data[[#This Row],[Unit Price]]</f>
        <v>7000</v>
      </c>
      <c r="T32" s="2"/>
      <c r="U32" s="2"/>
      <c r="V32" s="2"/>
    </row>
    <row r="33" spans="1:22" x14ac:dyDescent="0.3">
      <c r="A33" t="s">
        <v>109</v>
      </c>
      <c r="B33" s="1">
        <v>46281</v>
      </c>
      <c r="C33" t="s">
        <v>42</v>
      </c>
      <c r="D33" t="s">
        <v>53</v>
      </c>
      <c r="E33" t="s">
        <v>21</v>
      </c>
      <c r="F33" t="s">
        <v>110</v>
      </c>
      <c r="G33" s="2">
        <v>25</v>
      </c>
      <c r="H33" s="2">
        <v>50</v>
      </c>
      <c r="I33" s="2">
        <v>1250</v>
      </c>
      <c r="K33" s="5" t="str">
        <v>West</v>
      </c>
      <c r="L33" s="5" t="str">
        <v>Ramesh Kumar</v>
      </c>
      <c r="M33" s="6">
        <f>Sales_Data[[#This Row],[Quantity]]*Sales_Data[[#This Row],[Unit Price]]</f>
        <v>1250</v>
      </c>
      <c r="T33" s="2"/>
      <c r="U33" s="2"/>
      <c r="V33" s="2"/>
    </row>
    <row r="34" spans="1:22" x14ac:dyDescent="0.3">
      <c r="A34" t="s">
        <v>111</v>
      </c>
      <c r="B34" s="1">
        <v>46282</v>
      </c>
      <c r="C34" t="s">
        <v>15</v>
      </c>
      <c r="D34" t="s">
        <v>60</v>
      </c>
      <c r="E34" t="s">
        <v>13</v>
      </c>
      <c r="F34" t="s">
        <v>112</v>
      </c>
      <c r="G34" s="2">
        <v>3</v>
      </c>
      <c r="H34" s="2">
        <v>4800</v>
      </c>
      <c r="I34" s="2">
        <v>14400</v>
      </c>
      <c r="K34" s="5" t="str">
        <v>South</v>
      </c>
      <c r="L34" s="5" t="str">
        <v>Mahesh Reddy</v>
      </c>
      <c r="M34" s="6">
        <f>Sales_Data[[#This Row],[Quantity]]*Sales_Data[[#This Row],[Unit Price]]</f>
        <v>14400</v>
      </c>
      <c r="T34" s="2"/>
      <c r="U34" s="2"/>
      <c r="V34" s="2"/>
    </row>
    <row r="35" spans="1:22" x14ac:dyDescent="0.3">
      <c r="A35" t="s">
        <v>113</v>
      </c>
      <c r="B35" s="1">
        <v>46282</v>
      </c>
      <c r="C35" t="s">
        <v>11</v>
      </c>
      <c r="D35" t="s">
        <v>63</v>
      </c>
      <c r="E35" t="s">
        <v>10</v>
      </c>
      <c r="F35" t="s">
        <v>114</v>
      </c>
      <c r="G35" s="2">
        <v>2</v>
      </c>
      <c r="H35" s="2">
        <v>18500</v>
      </c>
      <c r="I35" s="2">
        <v>37000</v>
      </c>
      <c r="K35" s="5" t="str">
        <v>North</v>
      </c>
      <c r="L35" s="5" t="str">
        <v>Divya Patel</v>
      </c>
      <c r="M35" s="6">
        <f>Sales_Data[[#This Row],[Quantity]]*Sales_Data[[#This Row],[Unit Price]]</f>
        <v>37000</v>
      </c>
      <c r="T35" s="2"/>
      <c r="U35" s="2"/>
      <c r="V35" s="2"/>
    </row>
    <row r="36" spans="1:22" x14ac:dyDescent="0.3">
      <c r="A36" t="s">
        <v>115</v>
      </c>
      <c r="B36" s="1">
        <v>46283</v>
      </c>
      <c r="C36" t="s">
        <v>52</v>
      </c>
      <c r="D36" t="s">
        <v>116</v>
      </c>
      <c r="E36" t="s">
        <v>21</v>
      </c>
      <c r="F36" t="s">
        <v>117</v>
      </c>
      <c r="G36" s="2">
        <v>15</v>
      </c>
      <c r="H36" s="2">
        <v>110</v>
      </c>
      <c r="I36" s="2">
        <v>1650</v>
      </c>
      <c r="K36" s="5" t="str">
        <v>East</v>
      </c>
      <c r="L36" s="5" t="str">
        <v>Karan Shah</v>
      </c>
      <c r="M36" s="6">
        <f>Sales_Data[[#This Row],[Quantity]]*Sales_Data[[#This Row],[Unit Price]]</f>
        <v>1650</v>
      </c>
      <c r="T36" s="2"/>
      <c r="U36" s="2"/>
      <c r="V36" s="2"/>
    </row>
    <row r="37" spans="1:22" x14ac:dyDescent="0.3">
      <c r="A37" t="s">
        <v>118</v>
      </c>
      <c r="B37" s="1">
        <v>46283</v>
      </c>
      <c r="C37" t="s">
        <v>28</v>
      </c>
      <c r="D37" t="s">
        <v>69</v>
      </c>
      <c r="E37" t="s">
        <v>13</v>
      </c>
      <c r="F37" t="s">
        <v>119</v>
      </c>
      <c r="G37" s="2">
        <v>2</v>
      </c>
      <c r="H37" s="2">
        <v>4200</v>
      </c>
      <c r="I37" s="2">
        <v>8400</v>
      </c>
      <c r="K37" s="5" t="str">
        <v>West</v>
      </c>
      <c r="L37" s="5" t="str">
        <v>Swathi Rao</v>
      </c>
      <c r="M37" s="6">
        <f>Sales_Data[[#This Row],[Quantity]]*Sales_Data[[#This Row],[Unit Price]]</f>
        <v>8400</v>
      </c>
      <c r="T37" s="2"/>
      <c r="U37" s="2"/>
      <c r="V37" s="2"/>
    </row>
    <row r="38" spans="1:22" x14ac:dyDescent="0.3">
      <c r="A38" t="s">
        <v>120</v>
      </c>
      <c r="B38" s="1">
        <v>46284</v>
      </c>
      <c r="C38" t="s">
        <v>9</v>
      </c>
      <c r="D38" t="s">
        <v>121</v>
      </c>
      <c r="E38" t="s">
        <v>10</v>
      </c>
      <c r="F38" t="s">
        <v>122</v>
      </c>
      <c r="G38" s="2">
        <v>4</v>
      </c>
      <c r="H38" s="2">
        <v>2100</v>
      </c>
      <c r="I38" s="2">
        <v>8400</v>
      </c>
      <c r="K38" s="5" t="str">
        <v>South</v>
      </c>
      <c r="L38" s="5" t="str">
        <v>Suresh Kumar</v>
      </c>
      <c r="M38" s="6">
        <f>Sales_Data[[#This Row],[Quantity]]*Sales_Data[[#This Row],[Unit Price]]</f>
        <v>8400</v>
      </c>
      <c r="T38" s="2"/>
      <c r="U38" s="2"/>
      <c r="V38" s="2"/>
    </row>
    <row r="39" spans="1:22" x14ac:dyDescent="0.3">
      <c r="A39" t="s">
        <v>123</v>
      </c>
      <c r="B39" s="1">
        <v>46284</v>
      </c>
      <c r="C39" t="s">
        <v>35</v>
      </c>
      <c r="D39" t="s">
        <v>75</v>
      </c>
      <c r="E39" t="s">
        <v>21</v>
      </c>
      <c r="F39" t="s">
        <v>124</v>
      </c>
      <c r="G39" s="2">
        <v>8</v>
      </c>
      <c r="H39" s="2">
        <v>350</v>
      </c>
      <c r="I39" s="2">
        <v>2800</v>
      </c>
      <c r="K39" s="5" t="str">
        <v>North</v>
      </c>
      <c r="L39" s="5" t="str">
        <v>Meena Devi</v>
      </c>
      <c r="M39" s="6">
        <f>Sales_Data[[#This Row],[Quantity]]*Sales_Data[[#This Row],[Unit Price]]</f>
        <v>2800</v>
      </c>
      <c r="T39" s="2"/>
      <c r="U39" s="2"/>
      <c r="V39" s="2"/>
    </row>
    <row r="40" spans="1:22" x14ac:dyDescent="0.3">
      <c r="A40" t="s">
        <v>125</v>
      </c>
      <c r="B40" s="1">
        <v>46285</v>
      </c>
      <c r="C40" t="s">
        <v>12</v>
      </c>
      <c r="D40" t="s">
        <v>78</v>
      </c>
      <c r="E40" t="s">
        <v>13</v>
      </c>
      <c r="F40" t="s">
        <v>126</v>
      </c>
      <c r="G40" s="2">
        <v>2</v>
      </c>
      <c r="H40" s="2">
        <v>7200</v>
      </c>
      <c r="I40" s="2">
        <v>14400</v>
      </c>
      <c r="K40" s="5" t="str">
        <v>East</v>
      </c>
      <c r="L40" s="5" t="str">
        <v>Ajay Verma</v>
      </c>
      <c r="M40" s="6">
        <f>Sales_Data[[#This Row],[Quantity]]*Sales_Data[[#This Row],[Unit Price]]</f>
        <v>14400</v>
      </c>
      <c r="T40" s="2"/>
      <c r="U40" s="2"/>
      <c r="V40" s="2"/>
    </row>
    <row r="41" spans="1:22" x14ac:dyDescent="0.3">
      <c r="A41" t="s">
        <v>127</v>
      </c>
      <c r="B41" s="1">
        <v>46285</v>
      </c>
      <c r="C41" t="s">
        <v>42</v>
      </c>
      <c r="D41" t="s">
        <v>128</v>
      </c>
      <c r="E41" t="s">
        <v>10</v>
      </c>
      <c r="F41" t="s">
        <v>129</v>
      </c>
      <c r="G41" s="2">
        <v>1</v>
      </c>
      <c r="H41" s="2">
        <v>15500</v>
      </c>
      <c r="I41" s="2">
        <v>15500</v>
      </c>
      <c r="K41" s="5" t="str">
        <v>West</v>
      </c>
      <c r="L41" s="5" t="str">
        <v>Ravi Nair</v>
      </c>
      <c r="M41" s="6">
        <f>Sales_Data[[#This Row],[Quantity]]*Sales_Data[[#This Row],[Unit Price]]</f>
        <v>15500</v>
      </c>
      <c r="T41" s="2"/>
      <c r="U41" s="2"/>
      <c r="V41" s="2"/>
    </row>
    <row r="42" spans="1:22" x14ac:dyDescent="0.3">
      <c r="A42" t="s">
        <v>130</v>
      </c>
      <c r="B42" s="1">
        <v>46286</v>
      </c>
      <c r="C42" t="s">
        <v>15</v>
      </c>
      <c r="D42" t="s">
        <v>20</v>
      </c>
      <c r="E42" t="s">
        <v>21</v>
      </c>
      <c r="F42" t="s">
        <v>131</v>
      </c>
      <c r="G42" s="2">
        <v>10</v>
      </c>
      <c r="H42" s="2">
        <v>180</v>
      </c>
      <c r="I42" s="2">
        <v>1800</v>
      </c>
      <c r="K42" s="5" t="str">
        <v>South</v>
      </c>
      <c r="L42" s="5" t="str">
        <v>Priya Sharma</v>
      </c>
      <c r="M42" s="6">
        <f>Sales_Data[[#This Row],[Quantity]]*Sales_Data[[#This Row],[Unit Price]]</f>
        <v>1800</v>
      </c>
      <c r="T42" s="2"/>
      <c r="U42" s="2"/>
      <c r="V42" s="2"/>
    </row>
    <row r="43" spans="1:22" x14ac:dyDescent="0.3">
      <c r="A43" t="s">
        <v>132</v>
      </c>
      <c r="B43" s="1">
        <v>46286</v>
      </c>
      <c r="C43" t="s">
        <v>11</v>
      </c>
      <c r="D43" t="s">
        <v>133</v>
      </c>
      <c r="E43" t="s">
        <v>13</v>
      </c>
      <c r="F43" t="s">
        <v>134</v>
      </c>
      <c r="G43" s="2">
        <v>3</v>
      </c>
      <c r="H43" s="2">
        <v>7800</v>
      </c>
      <c r="I43" s="2">
        <v>23400</v>
      </c>
      <c r="K43" s="5" t="str">
        <v>North</v>
      </c>
      <c r="L43" s="5" t="str">
        <v>Rahul Singh</v>
      </c>
      <c r="M43" s="6">
        <f>Sales_Data[[#This Row],[Quantity]]*Sales_Data[[#This Row],[Unit Price]]</f>
        <v>23400</v>
      </c>
      <c r="T43" s="2"/>
      <c r="U43" s="2"/>
      <c r="V43" s="2"/>
    </row>
    <row r="44" spans="1:22" x14ac:dyDescent="0.3">
      <c r="A44" t="s">
        <v>135</v>
      </c>
      <c r="B44" s="1">
        <v>46287</v>
      </c>
      <c r="C44" t="s">
        <v>52</v>
      </c>
      <c r="D44" t="s">
        <v>29</v>
      </c>
      <c r="E44" t="s">
        <v>10</v>
      </c>
      <c r="F44" t="s">
        <v>136</v>
      </c>
      <c r="G44" s="2">
        <v>7</v>
      </c>
      <c r="H44" s="2">
        <v>900</v>
      </c>
      <c r="I44" s="2">
        <v>6300</v>
      </c>
      <c r="K44" s="5" t="str">
        <v>East</v>
      </c>
      <c r="L44" s="5" t="str">
        <v>Neha Patel</v>
      </c>
      <c r="M44" s="6">
        <f>Sales_Data[[#This Row],[Quantity]]*Sales_Data[[#This Row],[Unit Price]]</f>
        <v>6300</v>
      </c>
      <c r="T44" s="2"/>
      <c r="U44" s="2"/>
      <c r="V44" s="2"/>
    </row>
    <row r="45" spans="1:22" x14ac:dyDescent="0.3">
      <c r="A45" t="s">
        <v>137</v>
      </c>
      <c r="B45" s="1">
        <v>46287</v>
      </c>
      <c r="C45" t="s">
        <v>28</v>
      </c>
      <c r="D45" t="s">
        <v>138</v>
      </c>
      <c r="E45" t="s">
        <v>21</v>
      </c>
      <c r="F45" t="s">
        <v>139</v>
      </c>
      <c r="G45" s="2">
        <v>12</v>
      </c>
      <c r="H45" s="2">
        <v>140</v>
      </c>
      <c r="I45" s="2">
        <v>1680</v>
      </c>
      <c r="K45" s="5" t="str">
        <v>West</v>
      </c>
      <c r="L45" s="5" t="str">
        <v>Amit Verma</v>
      </c>
      <c r="M45" s="6">
        <f>Sales_Data[[#This Row],[Quantity]]*Sales_Data[[#This Row],[Unit Price]]</f>
        <v>1680</v>
      </c>
      <c r="T45" s="2"/>
      <c r="U45" s="2"/>
      <c r="V45" s="2"/>
    </row>
    <row r="46" spans="1:22" x14ac:dyDescent="0.3">
      <c r="A46" t="s">
        <v>140</v>
      </c>
      <c r="B46" s="1">
        <v>46288</v>
      </c>
      <c r="C46" t="s">
        <v>9</v>
      </c>
      <c r="D46" t="s">
        <v>92</v>
      </c>
      <c r="E46" t="s">
        <v>13</v>
      </c>
      <c r="F46" t="s">
        <v>141</v>
      </c>
      <c r="G46" s="2">
        <v>1</v>
      </c>
      <c r="H46" s="2">
        <v>12500</v>
      </c>
      <c r="I46" s="2">
        <v>12500</v>
      </c>
      <c r="K46" s="5" t="str">
        <v>South</v>
      </c>
      <c r="L46" s="5" t="str">
        <v>Kavya Mehta</v>
      </c>
      <c r="M46" s="6">
        <f>Sales_Data[[#This Row],[Quantity]]*Sales_Data[[#This Row],[Unit Price]]</f>
        <v>12500</v>
      </c>
      <c r="T46" s="2"/>
      <c r="U46" s="2"/>
      <c r="V46" s="2"/>
    </row>
    <row r="47" spans="1:22" x14ac:dyDescent="0.3">
      <c r="A47" t="s">
        <v>142</v>
      </c>
      <c r="B47" s="1">
        <v>46288</v>
      </c>
      <c r="C47" t="s">
        <v>35</v>
      </c>
      <c r="D47" t="s">
        <v>95</v>
      </c>
      <c r="E47" t="s">
        <v>10</v>
      </c>
      <c r="F47" t="s">
        <v>143</v>
      </c>
      <c r="G47" s="2">
        <v>6</v>
      </c>
      <c r="H47" s="2">
        <v>750</v>
      </c>
      <c r="I47" s="2">
        <v>4500</v>
      </c>
      <c r="K47" s="5" t="str">
        <v>North</v>
      </c>
      <c r="L47" s="5" t="str">
        <v>Arun Reddy</v>
      </c>
      <c r="M47" s="6">
        <f>Sales_Data[[#This Row],[Quantity]]*Sales_Data[[#This Row],[Unit Price]]</f>
        <v>4500</v>
      </c>
      <c r="T47" s="2"/>
      <c r="U47" s="2"/>
      <c r="V47" s="2"/>
    </row>
    <row r="48" spans="1:22" x14ac:dyDescent="0.3">
      <c r="A48" t="s">
        <v>144</v>
      </c>
      <c r="B48" s="1">
        <v>46289</v>
      </c>
      <c r="C48" t="s">
        <v>12</v>
      </c>
      <c r="D48" t="s">
        <v>98</v>
      </c>
      <c r="E48" t="s">
        <v>21</v>
      </c>
      <c r="F48" t="s">
        <v>145</v>
      </c>
      <c r="G48" s="2">
        <v>10</v>
      </c>
      <c r="H48" s="2">
        <v>220</v>
      </c>
      <c r="I48" s="2">
        <v>2200</v>
      </c>
      <c r="K48" s="5" t="str">
        <v>East</v>
      </c>
      <c r="L48" s="5" t="str">
        <v>Rajesh Kumar</v>
      </c>
      <c r="M48" s="6">
        <f>Sales_Data[[#This Row],[Quantity]]*Sales_Data[[#This Row],[Unit Price]]</f>
        <v>2200</v>
      </c>
      <c r="T48" s="2"/>
      <c r="U48" s="2"/>
      <c r="V48" s="2"/>
    </row>
    <row r="49" spans="1:22" x14ac:dyDescent="0.3">
      <c r="A49" t="s">
        <v>146</v>
      </c>
      <c r="B49" s="1">
        <v>46289</v>
      </c>
      <c r="C49" t="s">
        <v>42</v>
      </c>
      <c r="D49" t="s">
        <v>36</v>
      </c>
      <c r="E49" t="s">
        <v>13</v>
      </c>
      <c r="F49" t="s">
        <v>147</v>
      </c>
      <c r="G49" s="2">
        <v>2</v>
      </c>
      <c r="H49" s="2">
        <v>8900</v>
      </c>
      <c r="I49" s="2">
        <v>17800</v>
      </c>
      <c r="K49" s="5" t="str">
        <v>West</v>
      </c>
      <c r="L49" s="5" t="str">
        <v>Sneha Rao</v>
      </c>
      <c r="M49" s="6">
        <f>Sales_Data[[#This Row],[Quantity]]*Sales_Data[[#This Row],[Unit Price]]</f>
        <v>17800</v>
      </c>
      <c r="T49" s="2"/>
      <c r="U49" s="2"/>
      <c r="V49" s="2"/>
    </row>
    <row r="50" spans="1:22" x14ac:dyDescent="0.3">
      <c r="A50" t="s">
        <v>148</v>
      </c>
      <c r="B50" s="1">
        <v>46290</v>
      </c>
      <c r="C50" t="s">
        <v>15</v>
      </c>
      <c r="D50" t="s">
        <v>56</v>
      </c>
      <c r="E50" t="s">
        <v>10</v>
      </c>
      <c r="F50" t="s">
        <v>149</v>
      </c>
      <c r="G50" s="2">
        <v>3</v>
      </c>
      <c r="H50" s="2">
        <v>5500</v>
      </c>
      <c r="I50" s="2">
        <v>16500</v>
      </c>
      <c r="K50" s="5" t="str">
        <v>South</v>
      </c>
      <c r="L50" s="5" t="str">
        <v>Anjali Singh</v>
      </c>
      <c r="M50" s="6">
        <f>Sales_Data[[#This Row],[Quantity]]*Sales_Data[[#This Row],[Unit Price]]</f>
        <v>16500</v>
      </c>
      <c r="T50" s="2"/>
      <c r="U50" s="2"/>
      <c r="V50" s="2"/>
    </row>
    <row r="51" spans="1:22" x14ac:dyDescent="0.3">
      <c r="A51" t="s">
        <v>150</v>
      </c>
      <c r="B51" s="1">
        <v>46290</v>
      </c>
      <c r="C51" t="s">
        <v>11</v>
      </c>
      <c r="D51" t="s">
        <v>46</v>
      </c>
      <c r="E51" t="s">
        <v>21</v>
      </c>
      <c r="F51" t="s">
        <v>151</v>
      </c>
      <c r="G51" s="2">
        <v>30</v>
      </c>
      <c r="H51" s="2">
        <v>280</v>
      </c>
      <c r="I51" s="2">
        <v>8400</v>
      </c>
      <c r="K51" s="5" t="str">
        <v>North</v>
      </c>
      <c r="L51" s="5" t="str">
        <v>Vikram Das</v>
      </c>
      <c r="M51" s="6">
        <f>Sales_Data[[#This Row],[Quantity]]*Sales_Data[[#This Row],[Unit Price]]</f>
        <v>8400</v>
      </c>
      <c r="T51" s="2"/>
      <c r="U51" s="2"/>
      <c r="V51" s="2"/>
    </row>
    <row r="52" spans="1:22" x14ac:dyDescent="0.3">
      <c r="A52" t="s">
        <v>152</v>
      </c>
      <c r="B52" s="1">
        <v>46291</v>
      </c>
      <c r="C52" t="s">
        <v>52</v>
      </c>
      <c r="D52" t="s">
        <v>107</v>
      </c>
      <c r="E52" t="s">
        <v>13</v>
      </c>
      <c r="F52" t="s">
        <v>153</v>
      </c>
      <c r="G52" s="2">
        <v>2</v>
      </c>
      <c r="H52" s="2">
        <v>11500</v>
      </c>
      <c r="I52" s="2">
        <v>23000</v>
      </c>
      <c r="K52" s="5" t="str">
        <v>East</v>
      </c>
      <c r="L52" s="5" t="str">
        <v>Pooja Nair</v>
      </c>
      <c r="M52" s="6">
        <f>Sales_Data[[#This Row],[Quantity]]*Sales_Data[[#This Row],[Unit Price]]</f>
        <v>23000</v>
      </c>
      <c r="T52" s="2"/>
      <c r="U52" s="2"/>
      <c r="V52" s="2"/>
    </row>
    <row r="53" spans="1:22" x14ac:dyDescent="0.3">
      <c r="A53" t="s">
        <v>154</v>
      </c>
      <c r="B53" s="1">
        <v>46291</v>
      </c>
      <c r="C53" t="s">
        <v>28</v>
      </c>
      <c r="D53" t="s">
        <v>53</v>
      </c>
      <c r="E53" t="s">
        <v>10</v>
      </c>
      <c r="F53" t="s">
        <v>155</v>
      </c>
      <c r="G53" s="2">
        <v>4</v>
      </c>
      <c r="H53" s="2">
        <v>3200</v>
      </c>
      <c r="I53" s="2">
        <v>12800</v>
      </c>
      <c r="K53" s="5" t="str">
        <v>West</v>
      </c>
      <c r="L53" s="5" t="str">
        <v>Ramesh Kumar</v>
      </c>
      <c r="M53" s="6">
        <f>Sales_Data[[#This Row],[Quantity]]*Sales_Data[[#This Row],[Unit Price]]</f>
        <v>12800</v>
      </c>
      <c r="T53" s="2"/>
      <c r="U53" s="2"/>
      <c r="V53" s="2"/>
    </row>
    <row r="54" spans="1:22" x14ac:dyDescent="0.3">
      <c r="A54" t="s">
        <v>156</v>
      </c>
      <c r="B54" s="1">
        <v>46292</v>
      </c>
      <c r="C54" t="s">
        <v>9</v>
      </c>
      <c r="D54" t="s">
        <v>157</v>
      </c>
      <c r="E54" t="s">
        <v>21</v>
      </c>
      <c r="F54" t="s">
        <v>158</v>
      </c>
      <c r="G54" s="2">
        <v>20</v>
      </c>
      <c r="H54" s="2">
        <v>45</v>
      </c>
      <c r="I54" s="2">
        <v>900</v>
      </c>
      <c r="K54" s="5" t="str">
        <v>South</v>
      </c>
      <c r="L54" s="5" t="str">
        <v>Mahesh Reddy</v>
      </c>
      <c r="M54" s="6">
        <f>Sales_Data[[#This Row],[Quantity]]*Sales_Data[[#This Row],[Unit Price]]</f>
        <v>900</v>
      </c>
      <c r="T54" s="2"/>
      <c r="U54" s="2"/>
      <c r="V54" s="2"/>
    </row>
    <row r="55" spans="1:22" x14ac:dyDescent="0.3">
      <c r="A55" t="s">
        <v>159</v>
      </c>
      <c r="B55" s="1">
        <v>46292</v>
      </c>
      <c r="C55" t="s">
        <v>35</v>
      </c>
      <c r="D55" t="s">
        <v>63</v>
      </c>
      <c r="E55" t="s">
        <v>13</v>
      </c>
      <c r="F55" t="s">
        <v>160</v>
      </c>
      <c r="G55" s="2">
        <v>2</v>
      </c>
      <c r="H55" s="2">
        <v>5600</v>
      </c>
      <c r="I55" s="2">
        <v>11200</v>
      </c>
      <c r="K55" s="5" t="str">
        <v>North</v>
      </c>
      <c r="L55" s="5" t="str">
        <v>Divya Patel</v>
      </c>
      <c r="M55" s="6">
        <f>Sales_Data[[#This Row],[Quantity]]*Sales_Data[[#This Row],[Unit Price]]</f>
        <v>11200</v>
      </c>
      <c r="T55" s="2"/>
      <c r="U55" s="2"/>
      <c r="V55" s="2"/>
    </row>
    <row r="56" spans="1:22" x14ac:dyDescent="0.3">
      <c r="A56" t="s">
        <v>161</v>
      </c>
      <c r="B56" s="1">
        <v>46293</v>
      </c>
      <c r="C56" t="s">
        <v>12</v>
      </c>
      <c r="D56" t="s">
        <v>116</v>
      </c>
      <c r="E56" t="s">
        <v>10</v>
      </c>
      <c r="F56" t="s">
        <v>162</v>
      </c>
      <c r="G56" s="2">
        <v>1</v>
      </c>
      <c r="H56" s="2">
        <v>42000</v>
      </c>
      <c r="I56" s="2">
        <v>42000</v>
      </c>
      <c r="K56" s="5" t="str">
        <v>East</v>
      </c>
      <c r="L56" s="5" t="str">
        <v>Karan Shah</v>
      </c>
      <c r="M56" s="6">
        <f>Sales_Data[[#This Row],[Quantity]]*Sales_Data[[#This Row],[Unit Price]]</f>
        <v>42000</v>
      </c>
      <c r="T56" s="2"/>
      <c r="U56" s="2"/>
      <c r="V56" s="2"/>
    </row>
    <row r="57" spans="1:22" x14ac:dyDescent="0.3">
      <c r="A57" t="s">
        <v>163</v>
      </c>
      <c r="B57" s="1">
        <v>46293</v>
      </c>
      <c r="C57" t="s">
        <v>42</v>
      </c>
      <c r="D57" t="s">
        <v>69</v>
      </c>
      <c r="E57" t="s">
        <v>21</v>
      </c>
      <c r="F57" t="s">
        <v>164</v>
      </c>
      <c r="G57" s="2">
        <v>15</v>
      </c>
      <c r="H57" s="2">
        <v>90</v>
      </c>
      <c r="I57" s="2">
        <v>1350</v>
      </c>
      <c r="K57" s="5" t="str">
        <v>West</v>
      </c>
      <c r="L57" s="5" t="str">
        <v>Swathi Rao</v>
      </c>
      <c r="M57" s="6">
        <f>Sales_Data[[#This Row],[Quantity]]*Sales_Data[[#This Row],[Unit Price]]</f>
        <v>1350</v>
      </c>
      <c r="T57" s="2"/>
      <c r="U57" s="2"/>
      <c r="V57" s="2"/>
    </row>
    <row r="58" spans="1:22" x14ac:dyDescent="0.3">
      <c r="A58" t="s">
        <v>165</v>
      </c>
      <c r="B58" s="1">
        <v>46294</v>
      </c>
      <c r="C58" t="s">
        <v>15</v>
      </c>
      <c r="D58" t="s">
        <v>121</v>
      </c>
      <c r="E58" t="s">
        <v>13</v>
      </c>
      <c r="F58" t="s">
        <v>166</v>
      </c>
      <c r="G58" s="2">
        <v>4</v>
      </c>
      <c r="H58" s="2">
        <v>3900</v>
      </c>
      <c r="I58" s="2">
        <v>15600</v>
      </c>
      <c r="K58" s="5" t="str">
        <v>South</v>
      </c>
      <c r="L58" s="5" t="str">
        <v>Suresh Kumar</v>
      </c>
      <c r="M58" s="6">
        <f>Sales_Data[[#This Row],[Quantity]]*Sales_Data[[#This Row],[Unit Price]]</f>
        <v>15600</v>
      </c>
      <c r="T58" s="2"/>
      <c r="U58" s="2"/>
      <c r="V58" s="2"/>
    </row>
    <row r="59" spans="1:22" x14ac:dyDescent="0.3">
      <c r="A59" t="s">
        <v>167</v>
      </c>
      <c r="B59" s="1">
        <v>46294</v>
      </c>
      <c r="C59" t="s">
        <v>11</v>
      </c>
      <c r="D59" t="s">
        <v>75</v>
      </c>
      <c r="E59" t="s">
        <v>10</v>
      </c>
      <c r="F59" t="s">
        <v>168</v>
      </c>
      <c r="G59" s="2">
        <v>5</v>
      </c>
      <c r="H59" s="2">
        <v>1600</v>
      </c>
      <c r="I59" s="2">
        <v>8000</v>
      </c>
      <c r="K59" s="5" t="str">
        <v>North</v>
      </c>
      <c r="L59" s="5" t="str">
        <v>Meena Devi</v>
      </c>
      <c r="M59" s="6">
        <f>Sales_Data[[#This Row],[Quantity]]*Sales_Data[[#This Row],[Unit Price]]</f>
        <v>8000</v>
      </c>
      <c r="T59" s="2"/>
      <c r="U59" s="2"/>
      <c r="V59" s="2"/>
    </row>
    <row r="60" spans="1:22" x14ac:dyDescent="0.3">
      <c r="A60" t="s">
        <v>169</v>
      </c>
      <c r="B60" s="1">
        <v>46295</v>
      </c>
      <c r="C60" t="s">
        <v>52</v>
      </c>
      <c r="D60" t="s">
        <v>78</v>
      </c>
      <c r="E60" t="s">
        <v>21</v>
      </c>
      <c r="F60" t="s">
        <v>170</v>
      </c>
      <c r="G60" s="2">
        <v>30</v>
      </c>
      <c r="H60" s="2">
        <v>35</v>
      </c>
      <c r="I60" s="2">
        <v>1050</v>
      </c>
      <c r="K60" s="5" t="str">
        <v>East</v>
      </c>
      <c r="L60" s="5" t="str">
        <v>Ajay Verma</v>
      </c>
      <c r="M60" s="6">
        <f>Sales_Data[[#This Row],[Quantity]]*Sales_Data[[#This Row],[Unit Price]]</f>
        <v>1050</v>
      </c>
      <c r="T60" s="2"/>
      <c r="U60" s="2"/>
      <c r="V60" s="2"/>
    </row>
    <row r="61" spans="1:22" x14ac:dyDescent="0.3">
      <c r="A61" t="s">
        <v>171</v>
      </c>
      <c r="B61" s="1">
        <v>46295</v>
      </c>
      <c r="C61" t="s">
        <v>28</v>
      </c>
      <c r="D61" t="s">
        <v>128</v>
      </c>
      <c r="E61" t="s">
        <v>13</v>
      </c>
      <c r="F61" t="s">
        <v>172</v>
      </c>
      <c r="G61" s="2">
        <v>1</v>
      </c>
      <c r="H61" s="2">
        <v>9800</v>
      </c>
      <c r="I61" s="2">
        <v>9800</v>
      </c>
      <c r="K61" s="5" t="str">
        <v>West</v>
      </c>
      <c r="L61" s="5" t="str">
        <v>Ravi Nair</v>
      </c>
      <c r="M61" s="6">
        <f>Sales_Data[[#This Row],[Quantity]]*Sales_Data[[#This Row],[Unit Price]]</f>
        <v>9800</v>
      </c>
      <c r="T61" s="2"/>
      <c r="U61" s="2"/>
      <c r="V61" s="2"/>
    </row>
    <row r="62" spans="1:22" x14ac:dyDescent="0.3">
      <c r="A62" t="s">
        <v>173</v>
      </c>
      <c r="B62" s="1">
        <v>46296</v>
      </c>
      <c r="C62" t="s">
        <v>9</v>
      </c>
      <c r="D62" t="s">
        <v>20</v>
      </c>
      <c r="E62" t="s">
        <v>10</v>
      </c>
      <c r="F62" t="s">
        <v>30</v>
      </c>
      <c r="G62" s="2">
        <v>6</v>
      </c>
      <c r="H62" s="2">
        <v>850</v>
      </c>
      <c r="I62" s="2">
        <v>5100</v>
      </c>
      <c r="K62" s="5" t="str">
        <v>South</v>
      </c>
      <c r="L62" s="5" t="str">
        <v>Priya Sharma</v>
      </c>
      <c r="M62" s="6">
        <f>Sales_Data[[#This Row],[Quantity]]*Sales_Data[[#This Row],[Unit Price]]</f>
        <v>5100</v>
      </c>
      <c r="T62" s="2"/>
      <c r="U62" s="2"/>
      <c r="V62" s="2"/>
    </row>
    <row r="63" spans="1:22" x14ac:dyDescent="0.3">
      <c r="A63" t="s">
        <v>174</v>
      </c>
      <c r="B63" s="1">
        <v>46296</v>
      </c>
      <c r="C63" t="s">
        <v>35</v>
      </c>
      <c r="D63" t="s">
        <v>133</v>
      </c>
      <c r="E63" t="s">
        <v>21</v>
      </c>
      <c r="F63" t="s">
        <v>22</v>
      </c>
      <c r="G63" s="2">
        <v>20</v>
      </c>
      <c r="H63" s="2">
        <v>120</v>
      </c>
      <c r="I63" s="2">
        <v>2400</v>
      </c>
      <c r="K63" s="5" t="str">
        <v>North</v>
      </c>
      <c r="L63" s="5" t="str">
        <v>Rahul Singh</v>
      </c>
      <c r="M63" s="6">
        <f>Sales_Data[[#This Row],[Quantity]]*Sales_Data[[#This Row],[Unit Price]]</f>
        <v>2400</v>
      </c>
      <c r="T63" s="2"/>
      <c r="U63" s="2"/>
      <c r="V63" s="2"/>
    </row>
    <row r="64" spans="1:22" x14ac:dyDescent="0.3">
      <c r="A64" t="s">
        <v>175</v>
      </c>
      <c r="B64" s="1">
        <v>46297</v>
      </c>
      <c r="C64" t="s">
        <v>12</v>
      </c>
      <c r="D64" t="s">
        <v>29</v>
      </c>
      <c r="E64" t="s">
        <v>13</v>
      </c>
      <c r="F64" t="s">
        <v>26</v>
      </c>
      <c r="G64" s="2">
        <v>3</v>
      </c>
      <c r="H64" s="2">
        <v>4500</v>
      </c>
      <c r="I64" s="2">
        <v>13500</v>
      </c>
      <c r="K64" s="5" t="str">
        <v>East</v>
      </c>
      <c r="L64" s="5" t="str">
        <v>Neha Patel</v>
      </c>
      <c r="M64" s="6">
        <f>Sales_Data[[#This Row],[Quantity]]*Sales_Data[[#This Row],[Unit Price]]</f>
        <v>13500</v>
      </c>
      <c r="T64" s="2"/>
      <c r="U64" s="2"/>
      <c r="V64" s="2"/>
    </row>
    <row r="65" spans="1:22" x14ac:dyDescent="0.3">
      <c r="A65" t="s">
        <v>176</v>
      </c>
      <c r="B65" s="1">
        <v>46297</v>
      </c>
      <c r="C65" t="s">
        <v>42</v>
      </c>
      <c r="D65" t="s">
        <v>138</v>
      </c>
      <c r="E65" t="s">
        <v>10</v>
      </c>
      <c r="F65" t="s">
        <v>18</v>
      </c>
      <c r="G65" s="2">
        <v>8</v>
      </c>
      <c r="H65" s="2">
        <v>650</v>
      </c>
      <c r="I65" s="2">
        <v>5200</v>
      </c>
      <c r="K65" s="5" t="str">
        <v>West</v>
      </c>
      <c r="L65" s="5" t="str">
        <v>Amit Verma</v>
      </c>
      <c r="M65" s="6">
        <f>Sales_Data[[#This Row],[Quantity]]*Sales_Data[[#This Row],[Unit Price]]</f>
        <v>5200</v>
      </c>
      <c r="T65" s="2"/>
      <c r="U65" s="2"/>
      <c r="V65" s="2"/>
    </row>
    <row r="66" spans="1:22" x14ac:dyDescent="0.3">
      <c r="A66" t="s">
        <v>177</v>
      </c>
      <c r="B66" s="1">
        <v>46298</v>
      </c>
      <c r="C66" t="s">
        <v>15</v>
      </c>
      <c r="D66" t="s">
        <v>92</v>
      </c>
      <c r="E66" t="s">
        <v>21</v>
      </c>
      <c r="F66" t="s">
        <v>33</v>
      </c>
      <c r="G66" s="2">
        <v>25</v>
      </c>
      <c r="H66" s="2">
        <v>80</v>
      </c>
      <c r="I66" s="2">
        <v>2000</v>
      </c>
      <c r="K66" s="5" t="str">
        <v>South</v>
      </c>
      <c r="L66" s="5" t="str">
        <v>Kavya Mehta</v>
      </c>
      <c r="M66" s="6">
        <f>Sales_Data[[#This Row],[Quantity]]*Sales_Data[[#This Row],[Unit Price]]</f>
        <v>2000</v>
      </c>
      <c r="T66" s="2"/>
      <c r="U66" s="2"/>
      <c r="V66" s="2"/>
    </row>
    <row r="67" spans="1:22" x14ac:dyDescent="0.3">
      <c r="A67" t="s">
        <v>178</v>
      </c>
      <c r="B67" s="1">
        <v>46298</v>
      </c>
      <c r="C67" t="s">
        <v>11</v>
      </c>
      <c r="D67" t="s">
        <v>95</v>
      </c>
      <c r="E67" t="s">
        <v>13</v>
      </c>
      <c r="F67" t="s">
        <v>37</v>
      </c>
      <c r="G67" s="2">
        <v>2</v>
      </c>
      <c r="H67" s="2">
        <v>7500</v>
      </c>
      <c r="I67" s="2">
        <v>15000</v>
      </c>
      <c r="K67" s="5" t="str">
        <v>North</v>
      </c>
      <c r="L67" s="5" t="str">
        <v>Arun Reddy</v>
      </c>
      <c r="M67" s="6">
        <f>Sales_Data[[#This Row],[Quantity]]*Sales_Data[[#This Row],[Unit Price]]</f>
        <v>15000</v>
      </c>
      <c r="T67" s="2"/>
      <c r="U67" s="2"/>
      <c r="V67" s="2"/>
    </row>
    <row r="68" spans="1:22" x14ac:dyDescent="0.3">
      <c r="A68" t="s">
        <v>179</v>
      </c>
      <c r="B68" s="1">
        <v>46299</v>
      </c>
      <c r="C68" t="s">
        <v>52</v>
      </c>
      <c r="D68" t="s">
        <v>98</v>
      </c>
      <c r="E68" t="s">
        <v>10</v>
      </c>
      <c r="F68" t="s">
        <v>50</v>
      </c>
      <c r="G68" s="2">
        <v>2</v>
      </c>
      <c r="H68" s="2">
        <v>12500</v>
      </c>
      <c r="I68" s="2">
        <v>25000</v>
      </c>
      <c r="K68" s="5" t="str">
        <v>East</v>
      </c>
      <c r="L68" s="5" t="str">
        <v>Rajesh Kumar</v>
      </c>
      <c r="M68" s="6">
        <f>Sales_Data[[#This Row],[Quantity]]*Sales_Data[[#This Row],[Unit Price]]</f>
        <v>25000</v>
      </c>
      <c r="T68" s="2"/>
      <c r="U68" s="2"/>
      <c r="V68" s="2"/>
    </row>
    <row r="69" spans="1:22" x14ac:dyDescent="0.3">
      <c r="A69" t="s">
        <v>180</v>
      </c>
      <c r="B69" s="1">
        <v>46299</v>
      </c>
      <c r="C69" t="s">
        <v>28</v>
      </c>
      <c r="D69" t="s">
        <v>36</v>
      </c>
      <c r="E69" t="s">
        <v>21</v>
      </c>
      <c r="F69" t="s">
        <v>44</v>
      </c>
      <c r="G69" s="2">
        <v>30</v>
      </c>
      <c r="H69" s="2">
        <v>60</v>
      </c>
      <c r="I69" s="2">
        <v>1800</v>
      </c>
      <c r="K69" s="5" t="str">
        <v>West</v>
      </c>
      <c r="L69" s="5" t="str">
        <v>Sneha Rao</v>
      </c>
      <c r="M69" s="6">
        <f>Sales_Data[[#This Row],[Quantity]]*Sales_Data[[#This Row],[Unit Price]]</f>
        <v>1800</v>
      </c>
      <c r="T69" s="2"/>
      <c r="U69" s="2"/>
      <c r="V69" s="2"/>
    </row>
    <row r="70" spans="1:22" x14ac:dyDescent="0.3">
      <c r="A70" t="s">
        <v>181</v>
      </c>
      <c r="B70" s="1">
        <v>46300</v>
      </c>
      <c r="C70" t="s">
        <v>9</v>
      </c>
      <c r="D70" t="s">
        <v>56</v>
      </c>
      <c r="E70" t="s">
        <v>13</v>
      </c>
      <c r="F70" t="s">
        <v>47</v>
      </c>
      <c r="G70" s="2">
        <v>1</v>
      </c>
      <c r="H70" s="2">
        <v>5200</v>
      </c>
      <c r="I70" s="2">
        <v>5200</v>
      </c>
      <c r="K70" s="5" t="str">
        <v>South</v>
      </c>
      <c r="L70" s="5" t="str">
        <v>Anjali Singh</v>
      </c>
      <c r="M70" s="6">
        <f>Sales_Data[[#This Row],[Quantity]]*Sales_Data[[#This Row],[Unit Price]]</f>
        <v>5200</v>
      </c>
      <c r="T70" s="2"/>
      <c r="U70" s="2"/>
      <c r="V70" s="2"/>
    </row>
    <row r="71" spans="1:22" x14ac:dyDescent="0.3">
      <c r="A71" t="s">
        <v>182</v>
      </c>
      <c r="B71" s="1">
        <v>46300</v>
      </c>
      <c r="C71" t="s">
        <v>35</v>
      </c>
      <c r="D71" t="s">
        <v>46</v>
      </c>
      <c r="E71" t="s">
        <v>10</v>
      </c>
      <c r="F71" t="s">
        <v>61</v>
      </c>
      <c r="G71" s="2">
        <v>5</v>
      </c>
      <c r="H71" s="2">
        <v>1800</v>
      </c>
      <c r="I71" s="2">
        <v>9000</v>
      </c>
      <c r="K71" s="5" t="str">
        <v>North</v>
      </c>
      <c r="L71" s="5" t="str">
        <v>Vikram Das</v>
      </c>
      <c r="M71" s="6">
        <f>Sales_Data[[#This Row],[Quantity]]*Sales_Data[[#This Row],[Unit Price]]</f>
        <v>9000</v>
      </c>
      <c r="T71" s="2"/>
      <c r="U71" s="2"/>
      <c r="V71" s="2"/>
    </row>
    <row r="72" spans="1:22" x14ac:dyDescent="0.3">
      <c r="A72" t="s">
        <v>183</v>
      </c>
      <c r="B72" s="1">
        <v>46301</v>
      </c>
      <c r="C72" t="s">
        <v>12</v>
      </c>
      <c r="D72" t="s">
        <v>107</v>
      </c>
      <c r="E72" t="s">
        <v>21</v>
      </c>
      <c r="F72" t="s">
        <v>54</v>
      </c>
      <c r="G72" s="2">
        <v>10</v>
      </c>
      <c r="H72" s="2">
        <v>180</v>
      </c>
      <c r="I72" s="2">
        <v>1800</v>
      </c>
      <c r="K72" s="5" t="str">
        <v>East</v>
      </c>
      <c r="L72" s="5" t="str">
        <v>Pooja Nair</v>
      </c>
      <c r="M72" s="6">
        <f>Sales_Data[[#This Row],[Quantity]]*Sales_Data[[#This Row],[Unit Price]]</f>
        <v>1800</v>
      </c>
      <c r="T72" s="2"/>
      <c r="U72" s="2"/>
      <c r="V72" s="2"/>
    </row>
    <row r="73" spans="1:22" x14ac:dyDescent="0.3">
      <c r="A73" t="s">
        <v>184</v>
      </c>
      <c r="B73" s="1">
        <v>46301</v>
      </c>
      <c r="C73" t="s">
        <v>42</v>
      </c>
      <c r="D73" t="s">
        <v>53</v>
      </c>
      <c r="E73" t="s">
        <v>13</v>
      </c>
      <c r="F73" t="s">
        <v>57</v>
      </c>
      <c r="G73" s="2">
        <v>4</v>
      </c>
      <c r="H73" s="2">
        <v>2200</v>
      </c>
      <c r="I73" s="2">
        <v>8800</v>
      </c>
      <c r="K73" s="5" t="str">
        <v>West</v>
      </c>
      <c r="L73" s="5" t="str">
        <v>Ramesh Kumar</v>
      </c>
      <c r="M73" s="6">
        <f>Sales_Data[[#This Row],[Quantity]]*Sales_Data[[#This Row],[Unit Price]]</f>
        <v>8800</v>
      </c>
      <c r="T73" s="2"/>
      <c r="U73" s="2"/>
      <c r="V73" s="2"/>
    </row>
    <row r="74" spans="1:22" x14ac:dyDescent="0.3">
      <c r="A74" t="s">
        <v>185</v>
      </c>
      <c r="B74" s="1">
        <v>46302</v>
      </c>
      <c r="C74" t="s">
        <v>15</v>
      </c>
      <c r="D74" t="s">
        <v>157</v>
      </c>
      <c r="E74" t="s">
        <v>10</v>
      </c>
      <c r="F74" t="s">
        <v>40</v>
      </c>
      <c r="G74" s="2">
        <v>15</v>
      </c>
      <c r="H74" s="2">
        <v>300</v>
      </c>
      <c r="I74" s="2">
        <v>4500</v>
      </c>
      <c r="K74" s="5" t="str">
        <v>South</v>
      </c>
      <c r="L74" s="5" t="str">
        <v>Mahesh Reddy</v>
      </c>
      <c r="M74" s="6">
        <f>Sales_Data[[#This Row],[Quantity]]*Sales_Data[[#This Row],[Unit Price]]</f>
        <v>4500</v>
      </c>
      <c r="T74" s="2"/>
      <c r="U74" s="2"/>
      <c r="V74" s="2"/>
    </row>
    <row r="75" spans="1:22" x14ac:dyDescent="0.3">
      <c r="A75" t="s">
        <v>186</v>
      </c>
      <c r="B75" s="1">
        <v>46302</v>
      </c>
      <c r="C75" t="s">
        <v>11</v>
      </c>
      <c r="D75" t="s">
        <v>63</v>
      </c>
      <c r="E75" t="s">
        <v>21</v>
      </c>
      <c r="F75" t="s">
        <v>64</v>
      </c>
      <c r="G75" s="2">
        <v>3</v>
      </c>
      <c r="H75" s="2">
        <v>2500</v>
      </c>
      <c r="I75" s="2">
        <v>7500</v>
      </c>
      <c r="K75" s="5" t="str">
        <v>North</v>
      </c>
      <c r="L75" s="5" t="str">
        <v>Divya Patel</v>
      </c>
      <c r="M75" s="6">
        <f>Sales_Data[[#This Row],[Quantity]]*Sales_Data[[#This Row],[Unit Price]]</f>
        <v>7500</v>
      </c>
      <c r="T75" s="2"/>
      <c r="U75" s="2"/>
      <c r="V75" s="2"/>
    </row>
    <row r="76" spans="1:22" x14ac:dyDescent="0.3">
      <c r="A76" t="s">
        <v>187</v>
      </c>
      <c r="B76" s="1">
        <v>46303</v>
      </c>
      <c r="C76" t="s">
        <v>52</v>
      </c>
      <c r="D76" t="s">
        <v>116</v>
      </c>
      <c r="E76" t="s">
        <v>13</v>
      </c>
      <c r="F76" t="s">
        <v>67</v>
      </c>
      <c r="G76" s="2">
        <v>1</v>
      </c>
      <c r="H76" s="2">
        <v>6800</v>
      </c>
      <c r="I76" s="2">
        <v>6800</v>
      </c>
      <c r="K76" s="5" t="str">
        <v>East</v>
      </c>
      <c r="L76" s="5" t="str">
        <v>Karan Shah</v>
      </c>
      <c r="M76" s="6">
        <f>Sales_Data[[#This Row],[Quantity]]*Sales_Data[[#This Row],[Unit Price]]</f>
        <v>6800</v>
      </c>
      <c r="T76" s="2"/>
      <c r="U76" s="2"/>
      <c r="V76" s="2"/>
    </row>
    <row r="77" spans="1:22" x14ac:dyDescent="0.3">
      <c r="A77" t="s">
        <v>188</v>
      </c>
      <c r="B77" s="1">
        <v>46303</v>
      </c>
      <c r="C77" t="s">
        <v>28</v>
      </c>
      <c r="D77" t="s">
        <v>69</v>
      </c>
      <c r="E77" t="s">
        <v>10</v>
      </c>
      <c r="F77" t="s">
        <v>70</v>
      </c>
      <c r="G77" s="2">
        <v>4</v>
      </c>
      <c r="H77" s="2">
        <v>3200</v>
      </c>
      <c r="I77" s="2">
        <v>12800</v>
      </c>
      <c r="K77" s="5" t="str">
        <v>West</v>
      </c>
      <c r="L77" s="5" t="str">
        <v>Swathi Rao</v>
      </c>
      <c r="M77" s="6">
        <f>Sales_Data[[#This Row],[Quantity]]*Sales_Data[[#This Row],[Unit Price]]</f>
        <v>12800</v>
      </c>
      <c r="T77" s="2"/>
      <c r="U77" s="2"/>
      <c r="V77" s="2"/>
    </row>
    <row r="78" spans="1:22" x14ac:dyDescent="0.3">
      <c r="A78" t="s">
        <v>189</v>
      </c>
      <c r="B78" s="1">
        <v>46304</v>
      </c>
      <c r="C78" t="s">
        <v>9</v>
      </c>
      <c r="D78" t="s">
        <v>121</v>
      </c>
      <c r="E78" t="s">
        <v>21</v>
      </c>
      <c r="F78" t="s">
        <v>73</v>
      </c>
      <c r="G78" s="2">
        <v>8</v>
      </c>
      <c r="H78" s="2">
        <v>450</v>
      </c>
      <c r="I78" s="2">
        <v>3600</v>
      </c>
      <c r="K78" s="5" t="str">
        <v>South</v>
      </c>
      <c r="L78" s="5" t="str">
        <v>Suresh Kumar</v>
      </c>
      <c r="M78" s="6">
        <f>Sales_Data[[#This Row],[Quantity]]*Sales_Data[[#This Row],[Unit Price]]</f>
        <v>3600</v>
      </c>
      <c r="T78" s="2"/>
      <c r="U78" s="2"/>
      <c r="V78" s="2"/>
    </row>
    <row r="79" spans="1:22" x14ac:dyDescent="0.3">
      <c r="A79" t="s">
        <v>190</v>
      </c>
      <c r="B79" s="1">
        <v>46304</v>
      </c>
      <c r="C79" t="s">
        <v>35</v>
      </c>
      <c r="D79" t="s">
        <v>75</v>
      </c>
      <c r="E79" t="s">
        <v>13</v>
      </c>
      <c r="F79" t="s">
        <v>76</v>
      </c>
      <c r="G79" s="2">
        <v>2</v>
      </c>
      <c r="H79" s="2">
        <v>14500</v>
      </c>
      <c r="I79" s="2">
        <v>29000</v>
      </c>
      <c r="K79" s="5" t="str">
        <v>North</v>
      </c>
      <c r="L79" s="5" t="str">
        <v>Meena Devi</v>
      </c>
      <c r="M79" s="6">
        <f>Sales_Data[[#This Row],[Quantity]]*Sales_Data[[#This Row],[Unit Price]]</f>
        <v>29000</v>
      </c>
      <c r="T79" s="2"/>
      <c r="U79" s="2"/>
      <c r="V79" s="2"/>
    </row>
    <row r="80" spans="1:22" x14ac:dyDescent="0.3">
      <c r="A80" t="s">
        <v>191</v>
      </c>
      <c r="B80" s="1">
        <v>46305</v>
      </c>
      <c r="C80" t="s">
        <v>12</v>
      </c>
      <c r="D80" t="s">
        <v>78</v>
      </c>
      <c r="E80" t="s">
        <v>10</v>
      </c>
      <c r="F80" t="s">
        <v>79</v>
      </c>
      <c r="G80" s="2">
        <v>3</v>
      </c>
      <c r="H80" s="2">
        <v>8500</v>
      </c>
      <c r="I80" s="2">
        <v>25500</v>
      </c>
      <c r="K80" s="5" t="str">
        <v>East</v>
      </c>
      <c r="L80" s="5" t="str">
        <v>Ajay Verma</v>
      </c>
      <c r="M80" s="6">
        <f>Sales_Data[[#This Row],[Quantity]]*Sales_Data[[#This Row],[Unit Price]]</f>
        <v>25500</v>
      </c>
      <c r="T80" s="2"/>
      <c r="U80" s="2"/>
      <c r="V80" s="2"/>
    </row>
    <row r="81" spans="1:22" x14ac:dyDescent="0.3">
      <c r="A81" t="s">
        <v>192</v>
      </c>
      <c r="B81" s="1">
        <v>46305</v>
      </c>
      <c r="C81" t="s">
        <v>42</v>
      </c>
      <c r="D81" t="s">
        <v>128</v>
      </c>
      <c r="E81" t="s">
        <v>21</v>
      </c>
      <c r="F81" t="s">
        <v>82</v>
      </c>
      <c r="G81" s="2">
        <v>20</v>
      </c>
      <c r="H81" s="2">
        <v>250</v>
      </c>
      <c r="I81" s="2">
        <v>5000</v>
      </c>
      <c r="K81" s="5" t="str">
        <v>West</v>
      </c>
      <c r="L81" s="5" t="str">
        <v>Ravi Nair</v>
      </c>
      <c r="M81" s="6">
        <f>Sales_Data[[#This Row],[Quantity]]*Sales_Data[[#This Row],[Unit Price]]</f>
        <v>5000</v>
      </c>
      <c r="T81" s="2"/>
      <c r="U81" s="2"/>
      <c r="V81" s="2"/>
    </row>
    <row r="82" spans="1:22" x14ac:dyDescent="0.3">
      <c r="A82" t="s">
        <v>193</v>
      </c>
      <c r="B82" s="1">
        <v>46306</v>
      </c>
      <c r="C82" t="s">
        <v>15</v>
      </c>
      <c r="D82" t="s">
        <v>20</v>
      </c>
      <c r="E82" t="s">
        <v>13</v>
      </c>
      <c r="F82" t="s">
        <v>84</v>
      </c>
      <c r="G82" s="2">
        <v>1</v>
      </c>
      <c r="H82" s="2">
        <v>8500</v>
      </c>
      <c r="I82" s="2">
        <v>8500</v>
      </c>
      <c r="K82" s="5" t="str">
        <v>South</v>
      </c>
      <c r="L82" s="5" t="str">
        <v>Priya Sharma</v>
      </c>
      <c r="M82" s="6">
        <f>Sales_Data[[#This Row],[Quantity]]*Sales_Data[[#This Row],[Unit Price]]</f>
        <v>8500</v>
      </c>
      <c r="T82" s="2"/>
      <c r="U82" s="2"/>
      <c r="V82" s="2"/>
    </row>
    <row r="83" spans="1:22" x14ac:dyDescent="0.3">
      <c r="A83" t="s">
        <v>194</v>
      </c>
      <c r="B83" s="1">
        <v>46306</v>
      </c>
      <c r="C83" t="s">
        <v>11</v>
      </c>
      <c r="D83" t="s">
        <v>133</v>
      </c>
      <c r="E83" t="s">
        <v>10</v>
      </c>
      <c r="F83" t="s">
        <v>86</v>
      </c>
      <c r="G83" s="2">
        <v>6</v>
      </c>
      <c r="H83" s="2">
        <v>2200</v>
      </c>
      <c r="I83" s="2">
        <v>13200</v>
      </c>
      <c r="K83" s="5" t="str">
        <v>North</v>
      </c>
      <c r="L83" s="5" t="str">
        <v>Rahul Singh</v>
      </c>
      <c r="M83" s="6">
        <f>Sales_Data[[#This Row],[Quantity]]*Sales_Data[[#This Row],[Unit Price]]</f>
        <v>13200</v>
      </c>
      <c r="T83" s="2"/>
      <c r="U83" s="2"/>
      <c r="V83" s="2"/>
    </row>
    <row r="84" spans="1:22" x14ac:dyDescent="0.3">
      <c r="A84" t="s">
        <v>195</v>
      </c>
      <c r="B84" s="1">
        <v>46307</v>
      </c>
      <c r="C84" t="s">
        <v>52</v>
      </c>
      <c r="D84" t="s">
        <v>29</v>
      </c>
      <c r="E84" t="s">
        <v>21</v>
      </c>
      <c r="F84" t="s">
        <v>88</v>
      </c>
      <c r="G84" s="2">
        <v>25</v>
      </c>
      <c r="H84" s="2">
        <v>70</v>
      </c>
      <c r="I84" s="2">
        <v>1750</v>
      </c>
      <c r="K84" s="5" t="str">
        <v>East</v>
      </c>
      <c r="L84" s="5" t="str">
        <v>Neha Patel</v>
      </c>
      <c r="M84" s="6">
        <f>Sales_Data[[#This Row],[Quantity]]*Sales_Data[[#This Row],[Unit Price]]</f>
        <v>1750</v>
      </c>
      <c r="T84" s="2"/>
      <c r="U84" s="2"/>
      <c r="V84" s="2"/>
    </row>
    <row r="85" spans="1:22" x14ac:dyDescent="0.3">
      <c r="A85" t="s">
        <v>196</v>
      </c>
      <c r="B85" s="1">
        <v>46307</v>
      </c>
      <c r="C85" t="s">
        <v>28</v>
      </c>
      <c r="D85" t="s">
        <v>138</v>
      </c>
      <c r="E85" t="s">
        <v>13</v>
      </c>
      <c r="F85" t="s">
        <v>90</v>
      </c>
      <c r="G85" s="2">
        <v>1</v>
      </c>
      <c r="H85" s="2">
        <v>9200</v>
      </c>
      <c r="I85" s="2">
        <v>9200</v>
      </c>
      <c r="K85" s="5" t="str">
        <v>West</v>
      </c>
      <c r="L85" s="5" t="str">
        <v>Amit Verma</v>
      </c>
      <c r="M85" s="6">
        <f>Sales_Data[[#This Row],[Quantity]]*Sales_Data[[#This Row],[Unit Price]]</f>
        <v>9200</v>
      </c>
      <c r="T85" s="2"/>
      <c r="U85" s="2"/>
      <c r="V85" s="2"/>
    </row>
    <row r="86" spans="1:22" x14ac:dyDescent="0.3">
      <c r="A86" t="s">
        <v>197</v>
      </c>
      <c r="B86" s="1">
        <v>46308</v>
      </c>
      <c r="C86" t="s">
        <v>9</v>
      </c>
      <c r="D86" t="s">
        <v>92</v>
      </c>
      <c r="E86" t="s">
        <v>10</v>
      </c>
      <c r="F86" t="s">
        <v>93</v>
      </c>
      <c r="G86" s="2">
        <v>5</v>
      </c>
      <c r="H86" s="2">
        <v>2800</v>
      </c>
      <c r="I86" s="2">
        <v>14000</v>
      </c>
      <c r="K86" s="5" t="str">
        <v>South</v>
      </c>
      <c r="L86" s="5" t="str">
        <v>Kavya Mehta</v>
      </c>
      <c r="M86" s="6">
        <f>Sales_Data[[#This Row],[Quantity]]*Sales_Data[[#This Row],[Unit Price]]</f>
        <v>14000</v>
      </c>
      <c r="T86" s="2"/>
      <c r="U86" s="2"/>
      <c r="V86" s="2"/>
    </row>
    <row r="87" spans="1:22" x14ac:dyDescent="0.3">
      <c r="A87" t="s">
        <v>198</v>
      </c>
      <c r="B87" s="1">
        <v>46308</v>
      </c>
      <c r="C87" t="s">
        <v>35</v>
      </c>
      <c r="D87" t="s">
        <v>95</v>
      </c>
      <c r="E87" t="s">
        <v>21</v>
      </c>
      <c r="F87" t="s">
        <v>96</v>
      </c>
      <c r="G87" s="2">
        <v>15</v>
      </c>
      <c r="H87" s="2">
        <v>90</v>
      </c>
      <c r="I87" s="2">
        <v>1350</v>
      </c>
      <c r="K87" s="5" t="str">
        <v>North</v>
      </c>
      <c r="L87" s="5" t="str">
        <v>Arun Reddy</v>
      </c>
      <c r="M87" s="6">
        <f>Sales_Data[[#This Row],[Quantity]]*Sales_Data[[#This Row],[Unit Price]]</f>
        <v>1350</v>
      </c>
      <c r="T87" s="2"/>
      <c r="U87" s="2"/>
      <c r="V87" s="2"/>
    </row>
    <row r="88" spans="1:22" x14ac:dyDescent="0.3">
      <c r="A88" t="s">
        <v>199</v>
      </c>
      <c r="B88" s="1">
        <v>46309</v>
      </c>
      <c r="C88" t="s">
        <v>12</v>
      </c>
      <c r="D88" t="s">
        <v>98</v>
      </c>
      <c r="E88" t="s">
        <v>13</v>
      </c>
      <c r="F88" t="s">
        <v>99</v>
      </c>
      <c r="G88" s="2">
        <v>2</v>
      </c>
      <c r="H88" s="2">
        <v>3200</v>
      </c>
      <c r="I88" s="2">
        <v>6400</v>
      </c>
      <c r="K88" s="5" t="str">
        <v>East</v>
      </c>
      <c r="L88" s="5" t="str">
        <v>Rajesh Kumar</v>
      </c>
      <c r="M88" s="6">
        <f>Sales_Data[[#This Row],[Quantity]]*Sales_Data[[#This Row],[Unit Price]]</f>
        <v>6400</v>
      </c>
      <c r="T88" s="2"/>
      <c r="U88" s="2"/>
      <c r="V88" s="2"/>
    </row>
    <row r="89" spans="1:22" x14ac:dyDescent="0.3">
      <c r="A89" t="s">
        <v>200</v>
      </c>
      <c r="B89" s="1">
        <v>46309</v>
      </c>
      <c r="C89" t="s">
        <v>42</v>
      </c>
      <c r="D89" t="s">
        <v>36</v>
      </c>
      <c r="E89" t="s">
        <v>10</v>
      </c>
      <c r="F89" t="s">
        <v>101</v>
      </c>
      <c r="G89" s="2">
        <v>3</v>
      </c>
      <c r="H89" s="2">
        <v>6500</v>
      </c>
      <c r="I89" s="2">
        <v>19500</v>
      </c>
      <c r="K89" s="5" t="str">
        <v>West</v>
      </c>
      <c r="L89" s="5" t="str">
        <v>Sneha Rao</v>
      </c>
      <c r="M89" s="6">
        <f>Sales_Data[[#This Row],[Quantity]]*Sales_Data[[#This Row],[Unit Price]]</f>
        <v>19500</v>
      </c>
      <c r="T89" s="2"/>
      <c r="U89" s="2"/>
      <c r="V89" s="2"/>
    </row>
    <row r="90" spans="1:22" x14ac:dyDescent="0.3">
      <c r="A90" t="s">
        <v>201</v>
      </c>
      <c r="B90" s="1">
        <v>46310</v>
      </c>
      <c r="C90" t="s">
        <v>15</v>
      </c>
      <c r="D90" t="s">
        <v>56</v>
      </c>
      <c r="E90" t="s">
        <v>21</v>
      </c>
      <c r="F90" t="s">
        <v>103</v>
      </c>
      <c r="G90" s="2">
        <v>4</v>
      </c>
      <c r="H90" s="2">
        <v>1450</v>
      </c>
      <c r="I90" s="2">
        <v>5800</v>
      </c>
      <c r="K90" s="5" t="str">
        <v>South</v>
      </c>
      <c r="L90" s="5" t="str">
        <v>Anjali Singh</v>
      </c>
      <c r="M90" s="6">
        <f>Sales_Data[[#This Row],[Quantity]]*Sales_Data[[#This Row],[Unit Price]]</f>
        <v>5800</v>
      </c>
      <c r="T90" s="2"/>
      <c r="U90" s="2"/>
      <c r="V90" s="2"/>
    </row>
    <row r="91" spans="1:22" x14ac:dyDescent="0.3">
      <c r="A91" t="s">
        <v>202</v>
      </c>
      <c r="B91" s="1">
        <v>46310</v>
      </c>
      <c r="C91" t="s">
        <v>11</v>
      </c>
      <c r="D91" t="s">
        <v>46</v>
      </c>
      <c r="E91" t="s">
        <v>13</v>
      </c>
      <c r="F91" t="s">
        <v>105</v>
      </c>
      <c r="G91" s="2">
        <v>1</v>
      </c>
      <c r="H91" s="2">
        <v>18500</v>
      </c>
      <c r="I91" s="2">
        <v>18500</v>
      </c>
      <c r="K91" s="5" t="str">
        <v>North</v>
      </c>
      <c r="L91" s="5" t="str">
        <v>Vikram Das</v>
      </c>
      <c r="M91" s="6">
        <f>Sales_Data[[#This Row],[Quantity]]*Sales_Data[[#This Row],[Unit Price]]</f>
        <v>18500</v>
      </c>
      <c r="T91" s="2"/>
      <c r="U91" s="2"/>
      <c r="V91" s="2"/>
    </row>
    <row r="92" spans="1:22" x14ac:dyDescent="0.3">
      <c r="A92" t="s">
        <v>203</v>
      </c>
      <c r="B92" s="1">
        <v>46311</v>
      </c>
      <c r="C92" t="s">
        <v>52</v>
      </c>
      <c r="D92" t="s">
        <v>107</v>
      </c>
      <c r="E92" t="s">
        <v>10</v>
      </c>
      <c r="F92" t="s">
        <v>108</v>
      </c>
      <c r="G92" s="2">
        <v>12</v>
      </c>
      <c r="H92" s="2">
        <v>700</v>
      </c>
      <c r="I92" s="2">
        <v>8400</v>
      </c>
      <c r="K92" s="5" t="str">
        <v>East</v>
      </c>
      <c r="L92" s="5" t="str">
        <v>Pooja Nair</v>
      </c>
      <c r="M92" s="6">
        <f>Sales_Data[[#This Row],[Quantity]]*Sales_Data[[#This Row],[Unit Price]]</f>
        <v>8400</v>
      </c>
      <c r="T92" s="2"/>
      <c r="U92" s="2"/>
      <c r="V92" s="2"/>
    </row>
    <row r="93" spans="1:22" x14ac:dyDescent="0.3">
      <c r="A93" t="s">
        <v>204</v>
      </c>
      <c r="B93" s="1">
        <v>46311</v>
      </c>
      <c r="C93" t="s">
        <v>28</v>
      </c>
      <c r="D93" t="s">
        <v>53</v>
      </c>
      <c r="E93" t="s">
        <v>21</v>
      </c>
      <c r="F93" t="s">
        <v>110</v>
      </c>
      <c r="G93" s="2">
        <v>20</v>
      </c>
      <c r="H93" s="2">
        <v>50</v>
      </c>
      <c r="I93" s="2">
        <v>1000</v>
      </c>
      <c r="K93" s="5" t="str">
        <v>West</v>
      </c>
      <c r="L93" s="5" t="str">
        <v>Ramesh Kumar</v>
      </c>
      <c r="M93" s="6">
        <f>Sales_Data[[#This Row],[Quantity]]*Sales_Data[[#This Row],[Unit Price]]</f>
        <v>1000</v>
      </c>
      <c r="T93" s="2"/>
      <c r="U93" s="2"/>
      <c r="V93" s="2"/>
    </row>
    <row r="94" spans="1:22" x14ac:dyDescent="0.3">
      <c r="A94" t="s">
        <v>205</v>
      </c>
      <c r="B94" s="1">
        <v>46312</v>
      </c>
      <c r="C94" t="s">
        <v>9</v>
      </c>
      <c r="D94" t="s">
        <v>157</v>
      </c>
      <c r="E94" t="s">
        <v>13</v>
      </c>
      <c r="F94" t="s">
        <v>112</v>
      </c>
      <c r="G94" s="2">
        <v>2</v>
      </c>
      <c r="H94" s="2">
        <v>4800</v>
      </c>
      <c r="I94" s="2">
        <v>9600</v>
      </c>
      <c r="K94" s="5" t="str">
        <v>South</v>
      </c>
      <c r="L94" s="5" t="str">
        <v>Mahesh Reddy</v>
      </c>
      <c r="M94" s="6">
        <f>Sales_Data[[#This Row],[Quantity]]*Sales_Data[[#This Row],[Unit Price]]</f>
        <v>9600</v>
      </c>
      <c r="T94" s="2"/>
      <c r="U94" s="2"/>
      <c r="V94" s="2"/>
    </row>
    <row r="95" spans="1:22" x14ac:dyDescent="0.3">
      <c r="A95" t="s">
        <v>206</v>
      </c>
      <c r="B95" s="1">
        <v>46312</v>
      </c>
      <c r="C95" t="s">
        <v>35</v>
      </c>
      <c r="D95" t="s">
        <v>63</v>
      </c>
      <c r="E95" t="s">
        <v>10</v>
      </c>
      <c r="F95" t="s">
        <v>114</v>
      </c>
      <c r="G95" s="2">
        <v>1</v>
      </c>
      <c r="H95" s="2">
        <v>18500</v>
      </c>
      <c r="I95" s="2">
        <v>18500</v>
      </c>
      <c r="K95" s="5" t="str">
        <v>North</v>
      </c>
      <c r="L95" s="5" t="str">
        <v>Divya Patel</v>
      </c>
      <c r="M95" s="6">
        <f>Sales_Data[[#This Row],[Quantity]]*Sales_Data[[#This Row],[Unit Price]]</f>
        <v>18500</v>
      </c>
      <c r="T95" s="2"/>
      <c r="U95" s="2"/>
      <c r="V95" s="2"/>
    </row>
    <row r="96" spans="1:22" x14ac:dyDescent="0.3">
      <c r="A96" t="s">
        <v>207</v>
      </c>
      <c r="B96" s="1">
        <v>46313</v>
      </c>
      <c r="C96" t="s">
        <v>12</v>
      </c>
      <c r="D96" t="s">
        <v>116</v>
      </c>
      <c r="E96" t="s">
        <v>21</v>
      </c>
      <c r="F96" t="s">
        <v>117</v>
      </c>
      <c r="G96" s="2">
        <v>20</v>
      </c>
      <c r="H96" s="2">
        <v>110</v>
      </c>
      <c r="I96" s="2">
        <v>2200</v>
      </c>
      <c r="K96" s="5" t="str">
        <v>East</v>
      </c>
      <c r="L96" s="5" t="str">
        <v>Karan Shah</v>
      </c>
      <c r="M96" s="6">
        <f>Sales_Data[[#This Row],[Quantity]]*Sales_Data[[#This Row],[Unit Price]]</f>
        <v>2200</v>
      </c>
      <c r="T96" s="2"/>
      <c r="U96" s="2"/>
      <c r="V96" s="2"/>
    </row>
    <row r="97" spans="1:22" x14ac:dyDescent="0.3">
      <c r="A97" t="s">
        <v>208</v>
      </c>
      <c r="B97" s="1">
        <v>46313</v>
      </c>
      <c r="C97" t="s">
        <v>42</v>
      </c>
      <c r="D97" t="s">
        <v>69</v>
      </c>
      <c r="E97" t="s">
        <v>13</v>
      </c>
      <c r="F97" t="s">
        <v>119</v>
      </c>
      <c r="G97" s="2">
        <v>3</v>
      </c>
      <c r="H97" s="2">
        <v>4200</v>
      </c>
      <c r="I97" s="2">
        <v>12600</v>
      </c>
      <c r="K97" s="5" t="str">
        <v>West</v>
      </c>
      <c r="L97" s="5" t="str">
        <v>Swathi Rao</v>
      </c>
      <c r="M97" s="6">
        <f>Sales_Data[[#This Row],[Quantity]]*Sales_Data[[#This Row],[Unit Price]]</f>
        <v>12600</v>
      </c>
      <c r="T97" s="2"/>
      <c r="U97" s="2"/>
      <c r="V97" s="2"/>
    </row>
    <row r="98" spans="1:22" x14ac:dyDescent="0.3">
      <c r="A98" t="s">
        <v>209</v>
      </c>
      <c r="B98" s="1">
        <v>46314</v>
      </c>
      <c r="C98" t="s">
        <v>15</v>
      </c>
      <c r="D98" t="s">
        <v>121</v>
      </c>
      <c r="E98" t="s">
        <v>10</v>
      </c>
      <c r="F98" t="s">
        <v>122</v>
      </c>
      <c r="G98" s="2">
        <v>6</v>
      </c>
      <c r="H98" s="2">
        <v>2100</v>
      </c>
      <c r="I98" s="2">
        <v>12600</v>
      </c>
      <c r="K98" s="5" t="str">
        <v>South</v>
      </c>
      <c r="L98" s="5" t="str">
        <v>Suresh Kumar</v>
      </c>
      <c r="M98" s="6">
        <f>Sales_Data[[#This Row],[Quantity]]*Sales_Data[[#This Row],[Unit Price]]</f>
        <v>12600</v>
      </c>
      <c r="T98" s="2"/>
      <c r="U98" s="2"/>
      <c r="V98" s="2"/>
    </row>
    <row r="99" spans="1:22" x14ac:dyDescent="0.3">
      <c r="A99" t="s">
        <v>210</v>
      </c>
      <c r="B99" s="1">
        <v>46314</v>
      </c>
      <c r="C99" t="s">
        <v>11</v>
      </c>
      <c r="D99" t="s">
        <v>75</v>
      </c>
      <c r="E99" t="s">
        <v>21</v>
      </c>
      <c r="F99" t="s">
        <v>124</v>
      </c>
      <c r="G99" s="2">
        <v>10</v>
      </c>
      <c r="H99" s="2">
        <v>350</v>
      </c>
      <c r="I99" s="2">
        <v>3500</v>
      </c>
      <c r="K99" s="5" t="str">
        <v>North</v>
      </c>
      <c r="L99" s="5" t="str">
        <v>Meena Devi</v>
      </c>
      <c r="M99" s="6">
        <f>Sales_Data[[#This Row],[Quantity]]*Sales_Data[[#This Row],[Unit Price]]</f>
        <v>3500</v>
      </c>
      <c r="T99" s="2"/>
      <c r="U99" s="2"/>
      <c r="V99" s="2"/>
    </row>
    <row r="100" spans="1:22" x14ac:dyDescent="0.3">
      <c r="A100" t="s">
        <v>211</v>
      </c>
      <c r="B100" s="1">
        <v>46315</v>
      </c>
      <c r="C100" t="s">
        <v>52</v>
      </c>
      <c r="D100" t="s">
        <v>78</v>
      </c>
      <c r="E100" t="s">
        <v>13</v>
      </c>
      <c r="F100" t="s">
        <v>126</v>
      </c>
      <c r="G100" s="2">
        <v>1</v>
      </c>
      <c r="H100" s="2">
        <v>7200</v>
      </c>
      <c r="I100" s="2">
        <v>7200</v>
      </c>
      <c r="K100" s="5" t="str">
        <v>East</v>
      </c>
      <c r="L100" s="5" t="str">
        <v>Ajay Verma</v>
      </c>
      <c r="M100" s="6">
        <f>Sales_Data[[#This Row],[Quantity]]*Sales_Data[[#This Row],[Unit Price]]</f>
        <v>7200</v>
      </c>
      <c r="T100" s="2"/>
      <c r="U100" s="2"/>
      <c r="V100" s="2"/>
    </row>
    <row r="101" spans="1:22" x14ac:dyDescent="0.3">
      <c r="A101" t="s">
        <v>212</v>
      </c>
      <c r="B101" s="1">
        <v>46315</v>
      </c>
      <c r="C101" t="s">
        <v>28</v>
      </c>
      <c r="D101" t="s">
        <v>128</v>
      </c>
      <c r="E101" t="s">
        <v>10</v>
      </c>
      <c r="F101" t="s">
        <v>129</v>
      </c>
      <c r="G101" s="2">
        <v>2</v>
      </c>
      <c r="H101" s="2">
        <v>15500</v>
      </c>
      <c r="I101" s="2">
        <v>31000</v>
      </c>
      <c r="K101" s="5" t="str">
        <v>West</v>
      </c>
      <c r="L101" s="5" t="str">
        <v>Ravi Nair</v>
      </c>
      <c r="M101" s="6">
        <f>Sales_Data[[#This Row],[Quantity]]*Sales_Data[[#This Row],[Unit Price]]</f>
        <v>31000</v>
      </c>
      <c r="T101" s="2"/>
      <c r="U101" s="2"/>
      <c r="V101" s="2"/>
    </row>
    <row r="102" spans="1:22" x14ac:dyDescent="0.3">
      <c r="A102" t="s">
        <v>213</v>
      </c>
      <c r="B102" s="1">
        <v>46316</v>
      </c>
      <c r="C102" t="s">
        <v>9</v>
      </c>
      <c r="D102" t="s">
        <v>20</v>
      </c>
      <c r="E102" t="s">
        <v>21</v>
      </c>
      <c r="F102" t="s">
        <v>131</v>
      </c>
      <c r="G102" s="2">
        <v>15</v>
      </c>
      <c r="H102" s="2">
        <v>180</v>
      </c>
      <c r="I102" s="2">
        <v>2700</v>
      </c>
      <c r="K102" s="5" t="str">
        <v>South</v>
      </c>
      <c r="L102" s="5" t="str">
        <v>Priya Sharma</v>
      </c>
      <c r="M102" s="6">
        <f>Sales_Data[[#This Row],[Quantity]]*Sales_Data[[#This Row],[Unit Price]]</f>
        <v>2700</v>
      </c>
      <c r="T102" s="2"/>
      <c r="U102" s="2"/>
      <c r="V102" s="2"/>
    </row>
    <row r="103" spans="1:22" x14ac:dyDescent="0.3">
      <c r="A103" t="s">
        <v>214</v>
      </c>
      <c r="B103" s="1">
        <v>46316</v>
      </c>
      <c r="C103" t="s">
        <v>35</v>
      </c>
      <c r="D103" t="s">
        <v>133</v>
      </c>
      <c r="E103" t="s">
        <v>13</v>
      </c>
      <c r="F103" t="s">
        <v>134</v>
      </c>
      <c r="G103" s="2">
        <v>2</v>
      </c>
      <c r="H103" s="2">
        <v>7800</v>
      </c>
      <c r="I103" s="2">
        <v>15600</v>
      </c>
      <c r="K103" s="5" t="str">
        <v>North</v>
      </c>
      <c r="L103" s="5" t="str">
        <v>Rahul Singh</v>
      </c>
      <c r="M103" s="6">
        <f>Sales_Data[[#This Row],[Quantity]]*Sales_Data[[#This Row],[Unit Price]]</f>
        <v>15600</v>
      </c>
      <c r="T103" s="2"/>
      <c r="U103" s="2"/>
      <c r="V103" s="2"/>
    </row>
    <row r="104" spans="1:22" x14ac:dyDescent="0.3">
      <c r="A104" t="s">
        <v>215</v>
      </c>
      <c r="B104" s="1">
        <v>46317</v>
      </c>
      <c r="C104" t="s">
        <v>12</v>
      </c>
      <c r="D104" t="s">
        <v>29</v>
      </c>
      <c r="E104" t="s">
        <v>10</v>
      </c>
      <c r="F104" t="s">
        <v>136</v>
      </c>
      <c r="G104" s="2">
        <v>10</v>
      </c>
      <c r="H104" s="2">
        <v>900</v>
      </c>
      <c r="I104" s="2">
        <v>9000</v>
      </c>
      <c r="K104" s="5" t="str">
        <v>East</v>
      </c>
      <c r="L104" s="5" t="str">
        <v>Neha Patel</v>
      </c>
      <c r="M104" s="6">
        <f>Sales_Data[[#This Row],[Quantity]]*Sales_Data[[#This Row],[Unit Price]]</f>
        <v>9000</v>
      </c>
      <c r="T104" s="2"/>
      <c r="U104" s="2"/>
      <c r="V104" s="2"/>
    </row>
    <row r="105" spans="1:22" x14ac:dyDescent="0.3">
      <c r="A105" t="s">
        <v>216</v>
      </c>
      <c r="B105" s="1">
        <v>46317</v>
      </c>
      <c r="C105" t="s">
        <v>28</v>
      </c>
      <c r="D105" t="s">
        <v>138</v>
      </c>
      <c r="E105" t="s">
        <v>21</v>
      </c>
      <c r="F105" t="s">
        <v>139</v>
      </c>
      <c r="G105" s="2">
        <v>15</v>
      </c>
      <c r="H105" s="2">
        <v>140</v>
      </c>
      <c r="I105" s="2">
        <v>2100</v>
      </c>
      <c r="K105" s="5" t="str">
        <v>West</v>
      </c>
      <c r="L105" s="5" t="str">
        <v>Amit Verma</v>
      </c>
      <c r="M105" s="6">
        <f>Sales_Data[[#This Row],[Quantity]]*Sales_Data[[#This Row],[Unit Price]]</f>
        <v>2100</v>
      </c>
      <c r="T105" s="2"/>
      <c r="U105" s="2"/>
      <c r="V105" s="2"/>
    </row>
    <row r="106" spans="1:22" x14ac:dyDescent="0.3">
      <c r="A106" t="s">
        <v>217</v>
      </c>
      <c r="B106" s="1">
        <v>46318</v>
      </c>
      <c r="C106" t="s">
        <v>9</v>
      </c>
      <c r="D106" t="s">
        <v>92</v>
      </c>
      <c r="E106" t="s">
        <v>13</v>
      </c>
      <c r="F106" t="s">
        <v>141</v>
      </c>
      <c r="G106" s="2">
        <v>2</v>
      </c>
      <c r="H106" s="2">
        <v>12500</v>
      </c>
      <c r="I106" s="2">
        <v>25000</v>
      </c>
      <c r="K106" s="5" t="str">
        <v>South</v>
      </c>
      <c r="L106" s="5" t="str">
        <v>Kavya Mehta</v>
      </c>
      <c r="M106" s="6">
        <f>Sales_Data[[#This Row],[Quantity]]*Sales_Data[[#This Row],[Unit Price]]</f>
        <v>25000</v>
      </c>
      <c r="T106" s="2"/>
      <c r="U106" s="2"/>
      <c r="V106" s="2"/>
    </row>
    <row r="107" spans="1:22" x14ac:dyDescent="0.3">
      <c r="A107" t="s">
        <v>218</v>
      </c>
      <c r="B107" s="1">
        <v>46318</v>
      </c>
      <c r="C107" t="s">
        <v>35</v>
      </c>
      <c r="D107" t="s">
        <v>95</v>
      </c>
      <c r="E107" t="s">
        <v>10</v>
      </c>
      <c r="F107" t="s">
        <v>143</v>
      </c>
      <c r="G107" s="2">
        <v>8</v>
      </c>
      <c r="H107" s="2">
        <v>750</v>
      </c>
      <c r="I107" s="2">
        <v>6000</v>
      </c>
      <c r="K107" s="5" t="str">
        <v>North</v>
      </c>
      <c r="L107" s="5" t="str">
        <v>Arun Reddy</v>
      </c>
      <c r="M107" s="6">
        <f>Sales_Data[[#This Row],[Quantity]]*Sales_Data[[#This Row],[Unit Price]]</f>
        <v>6000</v>
      </c>
      <c r="T107" s="2"/>
      <c r="U107" s="2"/>
      <c r="V107" s="2"/>
    </row>
    <row r="108" spans="1:22" x14ac:dyDescent="0.3">
      <c r="A108" t="s">
        <v>219</v>
      </c>
      <c r="B108" s="1">
        <v>46319</v>
      </c>
      <c r="C108" t="s">
        <v>12</v>
      </c>
      <c r="D108" t="s">
        <v>98</v>
      </c>
      <c r="E108" t="s">
        <v>21</v>
      </c>
      <c r="F108" t="s">
        <v>145</v>
      </c>
      <c r="G108" s="2">
        <v>15</v>
      </c>
      <c r="H108" s="2">
        <v>220</v>
      </c>
      <c r="I108" s="2">
        <v>3300</v>
      </c>
      <c r="K108" s="5" t="str">
        <v>East</v>
      </c>
      <c r="L108" s="5" t="str">
        <v>Rajesh Kumar</v>
      </c>
      <c r="M108" s="6">
        <f>Sales_Data[[#This Row],[Quantity]]*Sales_Data[[#This Row],[Unit Price]]</f>
        <v>3300</v>
      </c>
      <c r="T108" s="2"/>
      <c r="U108" s="2"/>
      <c r="V108" s="2"/>
    </row>
    <row r="109" spans="1:22" x14ac:dyDescent="0.3">
      <c r="A109" t="s">
        <v>220</v>
      </c>
      <c r="B109" s="1">
        <v>46319</v>
      </c>
      <c r="C109" t="s">
        <v>42</v>
      </c>
      <c r="D109" t="s">
        <v>36</v>
      </c>
      <c r="E109" t="s">
        <v>13</v>
      </c>
      <c r="F109" t="s">
        <v>147</v>
      </c>
      <c r="G109" s="2">
        <v>1</v>
      </c>
      <c r="H109" s="2">
        <v>8900</v>
      </c>
      <c r="I109" s="2">
        <v>8900</v>
      </c>
      <c r="K109" s="5" t="str">
        <v>West</v>
      </c>
      <c r="L109" s="5" t="str">
        <v>Sneha Rao</v>
      </c>
      <c r="M109" s="6">
        <f>Sales_Data[[#This Row],[Quantity]]*Sales_Data[[#This Row],[Unit Price]]</f>
        <v>8900</v>
      </c>
      <c r="T109" s="2"/>
      <c r="U109" s="2"/>
      <c r="V109" s="2"/>
    </row>
    <row r="110" spans="1:22" x14ac:dyDescent="0.3">
      <c r="A110" t="s">
        <v>221</v>
      </c>
      <c r="B110" s="1">
        <v>46320</v>
      </c>
      <c r="C110" t="s">
        <v>15</v>
      </c>
      <c r="D110" t="s">
        <v>56</v>
      </c>
      <c r="E110" t="s">
        <v>10</v>
      </c>
      <c r="F110" t="s">
        <v>149</v>
      </c>
      <c r="G110" s="2">
        <v>4</v>
      </c>
      <c r="H110" s="2">
        <v>5500</v>
      </c>
      <c r="I110" s="2">
        <v>22000</v>
      </c>
      <c r="K110" s="5" t="str">
        <v>South</v>
      </c>
      <c r="L110" s="5" t="str">
        <v>Anjali Singh</v>
      </c>
      <c r="M110" s="6">
        <f>Sales_Data[[#This Row],[Quantity]]*Sales_Data[[#This Row],[Unit Price]]</f>
        <v>22000</v>
      </c>
      <c r="T110" s="2"/>
      <c r="U110" s="2"/>
      <c r="V110" s="2"/>
    </row>
    <row r="111" spans="1:22" x14ac:dyDescent="0.3">
      <c r="A111" t="s">
        <v>222</v>
      </c>
      <c r="B111" s="1">
        <v>46320</v>
      </c>
      <c r="C111" t="s">
        <v>11</v>
      </c>
      <c r="D111" t="s">
        <v>46</v>
      </c>
      <c r="E111" t="s">
        <v>21</v>
      </c>
      <c r="F111" t="s">
        <v>151</v>
      </c>
      <c r="G111" s="2">
        <v>40</v>
      </c>
      <c r="H111" s="2">
        <v>280</v>
      </c>
      <c r="I111" s="2">
        <v>11200</v>
      </c>
      <c r="K111" s="5" t="str">
        <v>North</v>
      </c>
      <c r="L111" s="5" t="str">
        <v>Vikram Das</v>
      </c>
      <c r="M111" s="6">
        <f>Sales_Data[[#This Row],[Quantity]]*Sales_Data[[#This Row],[Unit Price]]</f>
        <v>11200</v>
      </c>
      <c r="T111" s="2"/>
      <c r="U111" s="2"/>
      <c r="V111" s="2"/>
    </row>
    <row r="112" spans="1:22" x14ac:dyDescent="0.3">
      <c r="A112" t="s">
        <v>223</v>
      </c>
      <c r="B112" s="1">
        <v>46321</v>
      </c>
      <c r="C112" t="s">
        <v>52</v>
      </c>
      <c r="D112" t="s">
        <v>107</v>
      </c>
      <c r="E112" t="s">
        <v>13</v>
      </c>
      <c r="F112" t="s">
        <v>153</v>
      </c>
      <c r="G112" s="2">
        <v>1</v>
      </c>
      <c r="H112" s="2">
        <v>11500</v>
      </c>
      <c r="I112" s="2">
        <v>11500</v>
      </c>
      <c r="K112" s="5" t="str">
        <v>East</v>
      </c>
      <c r="L112" s="5" t="str">
        <v>Pooja Nair</v>
      </c>
      <c r="M112" s="6">
        <f>Sales_Data[[#This Row],[Quantity]]*Sales_Data[[#This Row],[Unit Price]]</f>
        <v>11500</v>
      </c>
      <c r="T112" s="2"/>
      <c r="U112" s="2"/>
      <c r="V112" s="2"/>
    </row>
    <row r="113" spans="1:22" x14ac:dyDescent="0.3">
      <c r="A113" t="s">
        <v>224</v>
      </c>
      <c r="B113" s="1">
        <v>46321</v>
      </c>
      <c r="C113" t="s">
        <v>28</v>
      </c>
      <c r="D113" t="s">
        <v>53</v>
      </c>
      <c r="E113" t="s">
        <v>10</v>
      </c>
      <c r="F113" t="s">
        <v>155</v>
      </c>
      <c r="G113" s="2">
        <v>5</v>
      </c>
      <c r="H113" s="2">
        <v>3200</v>
      </c>
      <c r="I113" s="2">
        <v>16000</v>
      </c>
      <c r="K113" s="5" t="str">
        <v>West</v>
      </c>
      <c r="L113" s="5" t="str">
        <v>Ramesh Kumar</v>
      </c>
      <c r="M113" s="6">
        <f>Sales_Data[[#This Row],[Quantity]]*Sales_Data[[#This Row],[Unit Price]]</f>
        <v>16000</v>
      </c>
      <c r="T113" s="2"/>
      <c r="U113" s="2"/>
      <c r="V113" s="2"/>
    </row>
    <row r="114" spans="1:22" x14ac:dyDescent="0.3">
      <c r="A114" t="s">
        <v>225</v>
      </c>
      <c r="B114" s="1">
        <v>46322</v>
      </c>
      <c r="C114" t="s">
        <v>9</v>
      </c>
      <c r="D114" t="s">
        <v>157</v>
      </c>
      <c r="E114" t="s">
        <v>21</v>
      </c>
      <c r="F114" t="s">
        <v>158</v>
      </c>
      <c r="G114" s="2">
        <v>30</v>
      </c>
      <c r="H114" s="2">
        <v>45</v>
      </c>
      <c r="I114" s="2">
        <v>1350</v>
      </c>
      <c r="K114" s="5" t="str">
        <v>South</v>
      </c>
      <c r="L114" s="5" t="str">
        <v>Mahesh Reddy</v>
      </c>
      <c r="M114" s="6">
        <f>Sales_Data[[#This Row],[Quantity]]*Sales_Data[[#This Row],[Unit Price]]</f>
        <v>1350</v>
      </c>
      <c r="T114" s="2"/>
      <c r="U114" s="2"/>
      <c r="V114" s="2"/>
    </row>
    <row r="115" spans="1:22" x14ac:dyDescent="0.3">
      <c r="A115" t="s">
        <v>226</v>
      </c>
      <c r="B115" s="1">
        <v>46322</v>
      </c>
      <c r="C115" t="s">
        <v>35</v>
      </c>
      <c r="D115" t="s">
        <v>63</v>
      </c>
      <c r="E115" t="s">
        <v>13</v>
      </c>
      <c r="F115" t="s">
        <v>160</v>
      </c>
      <c r="G115" s="2">
        <v>3</v>
      </c>
      <c r="H115" s="2">
        <v>5600</v>
      </c>
      <c r="I115" s="2">
        <v>16800</v>
      </c>
      <c r="K115" s="5" t="str">
        <v>North</v>
      </c>
      <c r="L115" s="5" t="str">
        <v>Divya Patel</v>
      </c>
      <c r="M115" s="6">
        <f>Sales_Data[[#This Row],[Quantity]]*Sales_Data[[#This Row],[Unit Price]]</f>
        <v>16800</v>
      </c>
      <c r="T115" s="2"/>
      <c r="U115" s="2"/>
      <c r="V115" s="2"/>
    </row>
    <row r="116" spans="1:22" x14ac:dyDescent="0.3">
      <c r="A116" t="s">
        <v>227</v>
      </c>
      <c r="B116" s="1">
        <v>46323</v>
      </c>
      <c r="C116" t="s">
        <v>12</v>
      </c>
      <c r="D116" t="s">
        <v>116</v>
      </c>
      <c r="E116" t="s">
        <v>10</v>
      </c>
      <c r="F116" t="s">
        <v>162</v>
      </c>
      <c r="G116" s="2">
        <v>2</v>
      </c>
      <c r="H116" s="2">
        <v>42000</v>
      </c>
      <c r="I116" s="2">
        <v>84000</v>
      </c>
      <c r="K116" s="5" t="str">
        <v>East</v>
      </c>
      <c r="L116" s="5" t="str">
        <v>Karan Shah</v>
      </c>
      <c r="M116" s="6">
        <f>Sales_Data[[#This Row],[Quantity]]*Sales_Data[[#This Row],[Unit Price]]</f>
        <v>84000</v>
      </c>
      <c r="T116" s="2"/>
      <c r="U116" s="2"/>
      <c r="V116" s="2"/>
    </row>
    <row r="117" spans="1:22" x14ac:dyDescent="0.3">
      <c r="A117" t="s">
        <v>228</v>
      </c>
      <c r="B117" s="1">
        <v>46323</v>
      </c>
      <c r="C117" t="s">
        <v>42</v>
      </c>
      <c r="D117" t="s">
        <v>69</v>
      </c>
      <c r="E117" t="s">
        <v>21</v>
      </c>
      <c r="F117" t="s">
        <v>164</v>
      </c>
      <c r="G117" s="2">
        <v>20</v>
      </c>
      <c r="H117" s="2">
        <v>90</v>
      </c>
      <c r="I117" s="2">
        <v>1800</v>
      </c>
      <c r="K117" s="5" t="str">
        <v>West</v>
      </c>
      <c r="L117" s="5" t="str">
        <v>Swathi Rao</v>
      </c>
      <c r="M117" s="6">
        <f>Sales_Data[[#This Row],[Quantity]]*Sales_Data[[#This Row],[Unit Price]]</f>
        <v>1800</v>
      </c>
      <c r="T117" s="2"/>
      <c r="U117" s="2"/>
      <c r="V117" s="2"/>
    </row>
    <row r="118" spans="1:22" x14ac:dyDescent="0.3">
      <c r="A118" t="s">
        <v>229</v>
      </c>
      <c r="B118" s="1">
        <v>46324</v>
      </c>
      <c r="C118" t="s">
        <v>15</v>
      </c>
      <c r="D118" t="s">
        <v>121</v>
      </c>
      <c r="E118" t="s">
        <v>13</v>
      </c>
      <c r="F118" t="s">
        <v>166</v>
      </c>
      <c r="G118" s="2">
        <v>3</v>
      </c>
      <c r="H118" s="2">
        <v>3900</v>
      </c>
      <c r="I118" s="2">
        <v>11700</v>
      </c>
      <c r="K118" s="5" t="str">
        <v>South</v>
      </c>
      <c r="L118" s="5" t="str">
        <v>Suresh Kumar</v>
      </c>
      <c r="M118" s="6">
        <f>Sales_Data[[#This Row],[Quantity]]*Sales_Data[[#This Row],[Unit Price]]</f>
        <v>11700</v>
      </c>
      <c r="T118" s="2"/>
      <c r="U118" s="2"/>
      <c r="V118" s="2"/>
    </row>
    <row r="119" spans="1:22" x14ac:dyDescent="0.3">
      <c r="A119" t="s">
        <v>230</v>
      </c>
      <c r="B119" s="1">
        <v>46324</v>
      </c>
      <c r="C119" t="s">
        <v>11</v>
      </c>
      <c r="D119" t="s">
        <v>75</v>
      </c>
      <c r="E119" t="s">
        <v>10</v>
      </c>
      <c r="F119" t="s">
        <v>168</v>
      </c>
      <c r="G119" s="2">
        <v>8</v>
      </c>
      <c r="H119" s="2">
        <v>1600</v>
      </c>
      <c r="I119" s="2">
        <v>12800</v>
      </c>
      <c r="K119" s="5" t="str">
        <v>North</v>
      </c>
      <c r="L119" s="5" t="str">
        <v>Meena Devi</v>
      </c>
      <c r="M119" s="6">
        <f>Sales_Data[[#This Row],[Quantity]]*Sales_Data[[#This Row],[Unit Price]]</f>
        <v>12800</v>
      </c>
      <c r="T119" s="2"/>
      <c r="U119" s="2"/>
      <c r="V119" s="2"/>
    </row>
    <row r="120" spans="1:22" x14ac:dyDescent="0.3">
      <c r="A120" t="s">
        <v>231</v>
      </c>
      <c r="B120" s="1">
        <v>46325</v>
      </c>
      <c r="C120" t="s">
        <v>52</v>
      </c>
      <c r="D120" t="s">
        <v>78</v>
      </c>
      <c r="E120" t="s">
        <v>21</v>
      </c>
      <c r="F120" t="s">
        <v>170</v>
      </c>
      <c r="G120" s="2">
        <v>40</v>
      </c>
      <c r="H120" s="2">
        <v>35</v>
      </c>
      <c r="I120" s="2">
        <v>1400</v>
      </c>
      <c r="K120" s="5" t="str">
        <v>East</v>
      </c>
      <c r="L120" s="5" t="str">
        <v>Ajay Verma</v>
      </c>
      <c r="M120" s="6">
        <f>Sales_Data[[#This Row],[Quantity]]*Sales_Data[[#This Row],[Unit Price]]</f>
        <v>1400</v>
      </c>
      <c r="T120" s="2"/>
      <c r="U120" s="2"/>
      <c r="V120" s="2"/>
    </row>
    <row r="121" spans="1:22" x14ac:dyDescent="0.3">
      <c r="A121" t="s">
        <v>232</v>
      </c>
      <c r="B121" s="1">
        <v>46325</v>
      </c>
      <c r="C121" t="s">
        <v>28</v>
      </c>
      <c r="D121" t="s">
        <v>128</v>
      </c>
      <c r="E121" t="s">
        <v>13</v>
      </c>
      <c r="F121" t="s">
        <v>172</v>
      </c>
      <c r="G121" s="2">
        <v>2</v>
      </c>
      <c r="H121" s="2">
        <v>9800</v>
      </c>
      <c r="I121" s="2">
        <v>19600</v>
      </c>
      <c r="K121" s="5" t="str">
        <v>West</v>
      </c>
      <c r="L121" s="5" t="str">
        <v>Ravi Nair</v>
      </c>
      <c r="M121" s="6">
        <f>Sales_Data[[#This Row],[Quantity]]*Sales_Data[[#This Row],[Unit Price]]</f>
        <v>19600</v>
      </c>
      <c r="T121" s="2"/>
      <c r="U121" s="2"/>
      <c r="V121" s="2"/>
    </row>
    <row r="122" spans="1:22" x14ac:dyDescent="0.3">
      <c r="A122" t="s">
        <v>233</v>
      </c>
      <c r="B122" s="1">
        <v>46326</v>
      </c>
      <c r="C122" t="s">
        <v>9</v>
      </c>
      <c r="D122" t="s">
        <v>20</v>
      </c>
      <c r="E122" t="s">
        <v>10</v>
      </c>
      <c r="F122" t="s">
        <v>18</v>
      </c>
      <c r="G122" s="2">
        <v>10</v>
      </c>
      <c r="H122" s="2">
        <v>650</v>
      </c>
      <c r="I122" s="2">
        <v>6500</v>
      </c>
      <c r="K122" s="5" t="str">
        <v>South</v>
      </c>
      <c r="L122" s="5" t="str">
        <v>Priya Sharma</v>
      </c>
      <c r="M122" s="6">
        <f>Sales_Data[[#This Row],[Quantity]]*Sales_Data[[#This Row],[Unit Price]]</f>
        <v>6500</v>
      </c>
      <c r="T122" s="2"/>
      <c r="U122" s="2"/>
      <c r="V122" s="2"/>
    </row>
    <row r="123" spans="1:22" x14ac:dyDescent="0.3">
      <c r="A123" t="s">
        <v>234</v>
      </c>
      <c r="B123" s="1">
        <v>46326</v>
      </c>
      <c r="C123" t="s">
        <v>35</v>
      </c>
      <c r="D123" t="s">
        <v>133</v>
      </c>
      <c r="E123" t="s">
        <v>21</v>
      </c>
      <c r="F123" t="s">
        <v>22</v>
      </c>
      <c r="G123" s="2">
        <v>25</v>
      </c>
      <c r="H123" s="2">
        <v>120</v>
      </c>
      <c r="I123" s="2">
        <v>3000</v>
      </c>
      <c r="K123" s="5" t="str">
        <v>North</v>
      </c>
      <c r="L123" s="5" t="str">
        <v>Rahul Singh</v>
      </c>
      <c r="M123" s="6">
        <f>Sales_Data[[#This Row],[Quantity]]*Sales_Data[[#This Row],[Unit Price]]</f>
        <v>3000</v>
      </c>
      <c r="T123" s="2"/>
      <c r="U123" s="2"/>
      <c r="V123" s="2"/>
    </row>
    <row r="124" spans="1:22" x14ac:dyDescent="0.3">
      <c r="A124" t="s">
        <v>235</v>
      </c>
      <c r="B124" s="1">
        <v>46327</v>
      </c>
      <c r="C124" t="s">
        <v>12</v>
      </c>
      <c r="D124" t="s">
        <v>29</v>
      </c>
      <c r="E124" t="s">
        <v>13</v>
      </c>
      <c r="F124" t="s">
        <v>26</v>
      </c>
      <c r="G124" s="2">
        <v>2</v>
      </c>
      <c r="H124" s="2">
        <v>4500</v>
      </c>
      <c r="I124" s="2">
        <v>9000</v>
      </c>
      <c r="K124" s="5" t="str">
        <v>East</v>
      </c>
      <c r="L124" s="5" t="str">
        <v>Neha Patel</v>
      </c>
      <c r="M124" s="6">
        <f>Sales_Data[[#This Row],[Quantity]]*Sales_Data[[#This Row],[Unit Price]]</f>
        <v>9000</v>
      </c>
      <c r="T124" s="2"/>
      <c r="U124" s="2"/>
      <c r="V124" s="2"/>
    </row>
    <row r="125" spans="1:22" x14ac:dyDescent="0.3">
      <c r="A125" t="s">
        <v>236</v>
      </c>
      <c r="B125" s="1">
        <v>46327</v>
      </c>
      <c r="C125" t="s">
        <v>28</v>
      </c>
      <c r="D125" t="s">
        <v>138</v>
      </c>
      <c r="E125" t="s">
        <v>10</v>
      </c>
      <c r="F125" t="s">
        <v>30</v>
      </c>
      <c r="G125" s="2">
        <v>7</v>
      </c>
      <c r="H125" s="2">
        <v>850</v>
      </c>
      <c r="I125" s="2">
        <v>5950</v>
      </c>
      <c r="K125" s="5" t="str">
        <v>West</v>
      </c>
      <c r="L125" s="5" t="str">
        <v>Amit Verma</v>
      </c>
      <c r="M125" s="6">
        <f>Sales_Data[[#This Row],[Quantity]]*Sales_Data[[#This Row],[Unit Price]]</f>
        <v>5950</v>
      </c>
      <c r="T125" s="2"/>
      <c r="U125" s="2"/>
      <c r="V125" s="2"/>
    </row>
    <row r="126" spans="1:22" x14ac:dyDescent="0.3">
      <c r="A126" t="s">
        <v>237</v>
      </c>
      <c r="B126" s="1">
        <v>46328</v>
      </c>
      <c r="C126" t="s">
        <v>9</v>
      </c>
      <c r="D126" t="s">
        <v>92</v>
      </c>
      <c r="E126" t="s">
        <v>21</v>
      </c>
      <c r="F126" t="s">
        <v>33</v>
      </c>
      <c r="G126" s="2">
        <v>30</v>
      </c>
      <c r="H126" s="2">
        <v>80</v>
      </c>
      <c r="I126" s="2">
        <v>2400</v>
      </c>
      <c r="K126" s="5" t="str">
        <v>South</v>
      </c>
      <c r="L126" s="5" t="str">
        <v>Kavya Mehta</v>
      </c>
      <c r="M126" s="6">
        <f>Sales_Data[[#This Row],[Quantity]]*Sales_Data[[#This Row],[Unit Price]]</f>
        <v>2400</v>
      </c>
      <c r="T126" s="2"/>
      <c r="U126" s="2"/>
      <c r="V126" s="2"/>
    </row>
    <row r="127" spans="1:22" x14ac:dyDescent="0.3">
      <c r="A127" t="s">
        <v>238</v>
      </c>
      <c r="B127" s="1">
        <v>46328</v>
      </c>
      <c r="C127" t="s">
        <v>35</v>
      </c>
      <c r="D127" t="s">
        <v>95</v>
      </c>
      <c r="E127" t="s">
        <v>13</v>
      </c>
      <c r="F127" t="s">
        <v>37</v>
      </c>
      <c r="G127" s="2">
        <v>1</v>
      </c>
      <c r="H127" s="2">
        <v>7500</v>
      </c>
      <c r="I127" s="2">
        <v>7500</v>
      </c>
      <c r="K127" s="5" t="str">
        <v>North</v>
      </c>
      <c r="L127" s="5" t="str">
        <v>Arun Reddy</v>
      </c>
      <c r="M127" s="6">
        <f>Sales_Data[[#This Row],[Quantity]]*Sales_Data[[#This Row],[Unit Price]]</f>
        <v>7500</v>
      </c>
      <c r="T127" s="2"/>
      <c r="U127" s="2"/>
      <c r="V127" s="2"/>
    </row>
    <row r="128" spans="1:22" x14ac:dyDescent="0.3">
      <c r="A128" t="s">
        <v>239</v>
      </c>
      <c r="B128" s="1">
        <v>46329</v>
      </c>
      <c r="C128" t="s">
        <v>12</v>
      </c>
      <c r="D128" t="s">
        <v>98</v>
      </c>
      <c r="E128" t="s">
        <v>10</v>
      </c>
      <c r="F128" t="s">
        <v>50</v>
      </c>
      <c r="G128" s="2">
        <v>4</v>
      </c>
      <c r="H128" s="2">
        <v>12500</v>
      </c>
      <c r="I128" s="2">
        <v>50000</v>
      </c>
      <c r="K128" s="5" t="str">
        <v>East</v>
      </c>
      <c r="L128" s="5" t="str">
        <v>Rajesh Kumar</v>
      </c>
      <c r="M128" s="6">
        <f>Sales_Data[[#This Row],[Quantity]]*Sales_Data[[#This Row],[Unit Price]]</f>
        <v>50000</v>
      </c>
      <c r="T128" s="2"/>
      <c r="U128" s="2"/>
      <c r="V128" s="2"/>
    </row>
    <row r="129" spans="1:22" x14ac:dyDescent="0.3">
      <c r="A129" t="s">
        <v>240</v>
      </c>
      <c r="B129" s="1">
        <v>46329</v>
      </c>
      <c r="C129" t="s">
        <v>42</v>
      </c>
      <c r="D129" t="s">
        <v>36</v>
      </c>
      <c r="E129" t="s">
        <v>21</v>
      </c>
      <c r="F129" t="s">
        <v>44</v>
      </c>
      <c r="G129" s="2">
        <v>25</v>
      </c>
      <c r="H129" s="2">
        <v>60</v>
      </c>
      <c r="I129" s="2">
        <v>1500</v>
      </c>
      <c r="K129" s="5" t="str">
        <v>West</v>
      </c>
      <c r="L129" s="5" t="str">
        <v>Sneha Rao</v>
      </c>
      <c r="M129" s="6">
        <f>Sales_Data[[#This Row],[Quantity]]*Sales_Data[[#This Row],[Unit Price]]</f>
        <v>1500</v>
      </c>
      <c r="T129" s="2"/>
      <c r="U129" s="2"/>
      <c r="V129" s="2"/>
    </row>
    <row r="130" spans="1:22" x14ac:dyDescent="0.3">
      <c r="A130" t="s">
        <v>241</v>
      </c>
      <c r="B130" s="1">
        <v>46330</v>
      </c>
      <c r="C130" t="s">
        <v>15</v>
      </c>
      <c r="D130" t="s">
        <v>56</v>
      </c>
      <c r="E130" t="s">
        <v>13</v>
      </c>
      <c r="F130" t="s">
        <v>47</v>
      </c>
      <c r="G130" s="2">
        <v>2</v>
      </c>
      <c r="H130" s="2">
        <v>5200</v>
      </c>
      <c r="I130" s="2">
        <v>10400</v>
      </c>
      <c r="K130" s="5" t="str">
        <v>South</v>
      </c>
      <c r="L130" s="5" t="str">
        <v>Anjali Singh</v>
      </c>
      <c r="M130" s="6">
        <f>Sales_Data[[#This Row],[Quantity]]*Sales_Data[[#This Row],[Unit Price]]</f>
        <v>10400</v>
      </c>
      <c r="T130" s="2"/>
      <c r="U130" s="2"/>
      <c r="V130" s="2"/>
    </row>
    <row r="131" spans="1:22" x14ac:dyDescent="0.3">
      <c r="A131" t="s">
        <v>242</v>
      </c>
      <c r="B131" s="1">
        <v>46330</v>
      </c>
      <c r="C131" t="s">
        <v>11</v>
      </c>
      <c r="D131" t="s">
        <v>46</v>
      </c>
      <c r="E131" t="s">
        <v>10</v>
      </c>
      <c r="F131" t="s">
        <v>61</v>
      </c>
      <c r="G131" s="2">
        <v>6</v>
      </c>
      <c r="H131" s="2">
        <v>1800</v>
      </c>
      <c r="I131" s="2">
        <v>10800</v>
      </c>
      <c r="K131" s="5" t="str">
        <v>North</v>
      </c>
      <c r="L131" s="5" t="str">
        <v>Vikram Das</v>
      </c>
      <c r="M131" s="6">
        <f>Sales_Data[[#This Row],[Quantity]]*Sales_Data[[#This Row],[Unit Price]]</f>
        <v>10800</v>
      </c>
      <c r="T131" s="2"/>
      <c r="U131" s="2"/>
      <c r="V131" s="2"/>
    </row>
    <row r="132" spans="1:22" x14ac:dyDescent="0.3">
      <c r="A132" t="s">
        <v>243</v>
      </c>
      <c r="B132" s="1">
        <v>46331</v>
      </c>
      <c r="C132" t="s">
        <v>52</v>
      </c>
      <c r="D132" t="s">
        <v>107</v>
      </c>
      <c r="E132" t="s">
        <v>21</v>
      </c>
      <c r="F132" t="s">
        <v>54</v>
      </c>
      <c r="G132" s="2">
        <v>12</v>
      </c>
      <c r="H132" s="2">
        <v>180</v>
      </c>
      <c r="I132" s="2">
        <v>2160</v>
      </c>
      <c r="K132" s="5" t="str">
        <v>East</v>
      </c>
      <c r="L132" s="5" t="str">
        <v>Pooja Nair</v>
      </c>
      <c r="M132" s="6">
        <f>Sales_Data[[#This Row],[Quantity]]*Sales_Data[[#This Row],[Unit Price]]</f>
        <v>2160</v>
      </c>
      <c r="T132" s="2"/>
      <c r="U132" s="2"/>
      <c r="V132" s="2"/>
    </row>
    <row r="133" spans="1:22" x14ac:dyDescent="0.3">
      <c r="A133" t="s">
        <v>244</v>
      </c>
      <c r="B133" s="1">
        <v>46331</v>
      </c>
      <c r="C133" t="s">
        <v>28</v>
      </c>
      <c r="D133" t="s">
        <v>53</v>
      </c>
      <c r="E133" t="s">
        <v>13</v>
      </c>
      <c r="F133" t="s">
        <v>57</v>
      </c>
      <c r="G133" s="2">
        <v>5</v>
      </c>
      <c r="H133" s="2">
        <v>2200</v>
      </c>
      <c r="I133" s="2">
        <v>11000</v>
      </c>
      <c r="K133" s="5" t="str">
        <v>West</v>
      </c>
      <c r="L133" s="5" t="str">
        <v>Ramesh Kumar</v>
      </c>
      <c r="M133" s="6">
        <f>Sales_Data[[#This Row],[Quantity]]*Sales_Data[[#This Row],[Unit Price]]</f>
        <v>11000</v>
      </c>
      <c r="T133" s="2"/>
      <c r="U133" s="2"/>
      <c r="V133" s="2"/>
    </row>
    <row r="134" spans="1:22" x14ac:dyDescent="0.3">
      <c r="A134" t="s">
        <v>245</v>
      </c>
      <c r="B134" s="1">
        <v>46332</v>
      </c>
      <c r="C134" t="s">
        <v>9</v>
      </c>
      <c r="D134" t="s">
        <v>157</v>
      </c>
      <c r="E134" t="s">
        <v>10</v>
      </c>
      <c r="F134" t="s">
        <v>40</v>
      </c>
      <c r="G134" s="2">
        <v>20</v>
      </c>
      <c r="H134" s="2">
        <v>300</v>
      </c>
      <c r="I134" s="2">
        <v>6000</v>
      </c>
      <c r="K134" s="5" t="str">
        <v>South</v>
      </c>
      <c r="L134" s="5" t="str">
        <v>Mahesh Reddy</v>
      </c>
      <c r="M134" s="6">
        <f>Sales_Data[[#This Row],[Quantity]]*Sales_Data[[#This Row],[Unit Price]]</f>
        <v>6000</v>
      </c>
      <c r="T134" s="2"/>
      <c r="U134" s="2"/>
      <c r="V134" s="2"/>
    </row>
    <row r="135" spans="1:22" x14ac:dyDescent="0.3">
      <c r="A135" t="s">
        <v>246</v>
      </c>
      <c r="B135" s="1">
        <v>46332</v>
      </c>
      <c r="C135" t="s">
        <v>35</v>
      </c>
      <c r="D135" t="s">
        <v>63</v>
      </c>
      <c r="E135" t="s">
        <v>21</v>
      </c>
      <c r="F135" t="s">
        <v>64</v>
      </c>
      <c r="G135" s="2">
        <v>2</v>
      </c>
      <c r="H135" s="2">
        <v>2500</v>
      </c>
      <c r="I135" s="2">
        <v>5000</v>
      </c>
      <c r="K135" s="5" t="str">
        <v>North</v>
      </c>
      <c r="L135" s="5" t="str">
        <v>Divya Patel</v>
      </c>
      <c r="M135" s="6">
        <f>Sales_Data[[#This Row],[Quantity]]*Sales_Data[[#This Row],[Unit Price]]</f>
        <v>5000</v>
      </c>
      <c r="T135" s="2"/>
      <c r="U135" s="2"/>
      <c r="V135" s="2"/>
    </row>
    <row r="136" spans="1:22" x14ac:dyDescent="0.3">
      <c r="A136" t="s">
        <v>247</v>
      </c>
      <c r="B136" s="1">
        <v>46333</v>
      </c>
      <c r="C136" t="s">
        <v>12</v>
      </c>
      <c r="D136" t="s">
        <v>116</v>
      </c>
      <c r="E136" t="s">
        <v>13</v>
      </c>
      <c r="F136" t="s">
        <v>67</v>
      </c>
      <c r="G136" s="2">
        <v>3</v>
      </c>
      <c r="H136" s="2">
        <v>6800</v>
      </c>
      <c r="I136" s="2">
        <v>20400</v>
      </c>
      <c r="K136" s="5" t="str">
        <v>East</v>
      </c>
      <c r="L136" s="5" t="str">
        <v>Karan Shah</v>
      </c>
      <c r="M136" s="6">
        <f>Sales_Data[[#This Row],[Quantity]]*Sales_Data[[#This Row],[Unit Price]]</f>
        <v>20400</v>
      </c>
      <c r="T136" s="2"/>
      <c r="U136" s="2"/>
      <c r="V136" s="2"/>
    </row>
    <row r="137" spans="1:22" x14ac:dyDescent="0.3">
      <c r="A137" t="s">
        <v>248</v>
      </c>
      <c r="B137" s="1">
        <v>46333</v>
      </c>
      <c r="C137" t="s">
        <v>42</v>
      </c>
      <c r="D137" t="s">
        <v>69</v>
      </c>
      <c r="E137" t="s">
        <v>10</v>
      </c>
      <c r="F137" t="s">
        <v>70</v>
      </c>
      <c r="G137" s="2">
        <v>2</v>
      </c>
      <c r="H137" s="2">
        <v>3200</v>
      </c>
      <c r="I137" s="2">
        <v>6400</v>
      </c>
      <c r="K137" s="5" t="str">
        <v>West</v>
      </c>
      <c r="L137" s="5" t="str">
        <v>Swathi Rao</v>
      </c>
      <c r="M137" s="6">
        <f>Sales_Data[[#This Row],[Quantity]]*Sales_Data[[#This Row],[Unit Price]]</f>
        <v>6400</v>
      </c>
      <c r="T137" s="2"/>
      <c r="U137" s="2"/>
      <c r="V137" s="2"/>
    </row>
    <row r="138" spans="1:22" x14ac:dyDescent="0.3">
      <c r="A138" t="s">
        <v>249</v>
      </c>
      <c r="B138" s="1">
        <v>46334</v>
      </c>
      <c r="C138" t="s">
        <v>15</v>
      </c>
      <c r="D138" t="s">
        <v>121</v>
      </c>
      <c r="E138" t="s">
        <v>21</v>
      </c>
      <c r="F138" t="s">
        <v>73</v>
      </c>
      <c r="G138" s="2">
        <v>10</v>
      </c>
      <c r="H138" s="2">
        <v>450</v>
      </c>
      <c r="I138" s="2">
        <v>4500</v>
      </c>
      <c r="K138" s="5" t="str">
        <v>South</v>
      </c>
      <c r="L138" s="5" t="str">
        <v>Suresh Kumar</v>
      </c>
      <c r="M138" s="6">
        <f>Sales_Data[[#This Row],[Quantity]]*Sales_Data[[#This Row],[Unit Price]]</f>
        <v>4500</v>
      </c>
      <c r="T138" s="2"/>
      <c r="U138" s="2"/>
      <c r="V138" s="2"/>
    </row>
    <row r="139" spans="1:22" x14ac:dyDescent="0.3">
      <c r="A139" t="s">
        <v>250</v>
      </c>
      <c r="B139" s="1">
        <v>46334</v>
      </c>
      <c r="C139" t="s">
        <v>11</v>
      </c>
      <c r="D139" t="s">
        <v>75</v>
      </c>
      <c r="E139" t="s">
        <v>13</v>
      </c>
      <c r="F139" t="s">
        <v>76</v>
      </c>
      <c r="G139" s="2">
        <v>1</v>
      </c>
      <c r="H139" s="2">
        <v>14500</v>
      </c>
      <c r="I139" s="2">
        <v>14500</v>
      </c>
      <c r="K139" s="5" t="str">
        <v>North</v>
      </c>
      <c r="L139" s="5" t="str">
        <v>Meena Devi</v>
      </c>
      <c r="M139" s="6">
        <f>Sales_Data[[#This Row],[Quantity]]*Sales_Data[[#This Row],[Unit Price]]</f>
        <v>14500</v>
      </c>
      <c r="T139" s="2"/>
      <c r="U139" s="2"/>
      <c r="V139" s="2"/>
    </row>
    <row r="140" spans="1:22" x14ac:dyDescent="0.3">
      <c r="A140" t="s">
        <v>251</v>
      </c>
      <c r="B140" s="1">
        <v>46335</v>
      </c>
      <c r="C140" t="s">
        <v>52</v>
      </c>
      <c r="D140" t="s">
        <v>78</v>
      </c>
      <c r="E140" t="s">
        <v>10</v>
      </c>
      <c r="F140" t="s">
        <v>79</v>
      </c>
      <c r="G140" s="2">
        <v>2</v>
      </c>
      <c r="H140" s="2">
        <v>8500</v>
      </c>
      <c r="I140" s="2">
        <v>17000</v>
      </c>
      <c r="K140" s="5" t="str">
        <v>East</v>
      </c>
      <c r="L140" s="5" t="str">
        <v>Ajay Verma</v>
      </c>
      <c r="M140" s="6">
        <f>Sales_Data[[#This Row],[Quantity]]*Sales_Data[[#This Row],[Unit Price]]</f>
        <v>17000</v>
      </c>
      <c r="T140" s="2"/>
      <c r="U140" s="2"/>
      <c r="V140" s="2"/>
    </row>
    <row r="141" spans="1:22" x14ac:dyDescent="0.3">
      <c r="A141" t="s">
        <v>252</v>
      </c>
      <c r="B141" s="1">
        <v>46335</v>
      </c>
      <c r="C141" t="s">
        <v>28</v>
      </c>
      <c r="D141" t="s">
        <v>128</v>
      </c>
      <c r="E141" t="s">
        <v>21</v>
      </c>
      <c r="F141" t="s">
        <v>82</v>
      </c>
      <c r="G141" s="2">
        <v>15</v>
      </c>
      <c r="H141" s="2">
        <v>250</v>
      </c>
      <c r="I141" s="2">
        <v>3750</v>
      </c>
      <c r="K141" s="5" t="str">
        <v>West</v>
      </c>
      <c r="L141" s="5" t="str">
        <v>Ravi Nair</v>
      </c>
      <c r="M141" s="6">
        <f>Sales_Data[[#This Row],[Quantity]]*Sales_Data[[#This Row],[Unit Price]]</f>
        <v>3750</v>
      </c>
      <c r="T141" s="2"/>
      <c r="U141" s="2"/>
      <c r="V141" s="2"/>
    </row>
    <row r="142" spans="1:22" x14ac:dyDescent="0.3">
      <c r="A142" t="s">
        <v>253</v>
      </c>
      <c r="B142" s="1">
        <v>46336</v>
      </c>
      <c r="C142" t="s">
        <v>9</v>
      </c>
      <c r="D142" t="s">
        <v>20</v>
      </c>
      <c r="E142" t="s">
        <v>13</v>
      </c>
      <c r="F142" t="s">
        <v>84</v>
      </c>
      <c r="G142" s="2">
        <v>2</v>
      </c>
      <c r="H142" s="2">
        <v>8500</v>
      </c>
      <c r="I142" s="2">
        <v>17000</v>
      </c>
      <c r="K142" s="5" t="str">
        <v>South</v>
      </c>
      <c r="L142" s="5" t="str">
        <v>Priya Sharma</v>
      </c>
      <c r="M142" s="6">
        <f>Sales_Data[[#This Row],[Quantity]]*Sales_Data[[#This Row],[Unit Price]]</f>
        <v>17000</v>
      </c>
      <c r="T142" s="2"/>
      <c r="U142" s="2"/>
      <c r="V142" s="2"/>
    </row>
    <row r="143" spans="1:22" x14ac:dyDescent="0.3">
      <c r="A143" t="s">
        <v>254</v>
      </c>
      <c r="B143" s="1">
        <v>46336</v>
      </c>
      <c r="C143" t="s">
        <v>35</v>
      </c>
      <c r="D143" t="s">
        <v>133</v>
      </c>
      <c r="E143" t="s">
        <v>10</v>
      </c>
      <c r="F143" t="s">
        <v>86</v>
      </c>
      <c r="G143" s="2">
        <v>5</v>
      </c>
      <c r="H143" s="2">
        <v>2200</v>
      </c>
      <c r="I143" s="2">
        <v>11000</v>
      </c>
      <c r="K143" s="5" t="str">
        <v>North</v>
      </c>
      <c r="L143" s="5" t="str">
        <v>Rahul Singh</v>
      </c>
      <c r="M143" s="6">
        <f>Sales_Data[[#This Row],[Quantity]]*Sales_Data[[#This Row],[Unit Price]]</f>
        <v>11000</v>
      </c>
      <c r="T143" s="2"/>
      <c r="U143" s="2"/>
      <c r="V143" s="2"/>
    </row>
    <row r="144" spans="1:22" x14ac:dyDescent="0.3">
      <c r="A144" t="s">
        <v>255</v>
      </c>
      <c r="B144" s="1">
        <v>46337</v>
      </c>
      <c r="C144" t="s">
        <v>12</v>
      </c>
      <c r="D144" t="s">
        <v>29</v>
      </c>
      <c r="E144" t="s">
        <v>21</v>
      </c>
      <c r="F144" t="s">
        <v>88</v>
      </c>
      <c r="G144" s="2">
        <v>20</v>
      </c>
      <c r="H144" s="2">
        <v>70</v>
      </c>
      <c r="I144" s="2">
        <v>1400</v>
      </c>
      <c r="K144" s="5" t="str">
        <v>East</v>
      </c>
      <c r="L144" s="5" t="str">
        <v>Neha Patel</v>
      </c>
      <c r="M144" s="6">
        <f>Sales_Data[[#This Row],[Quantity]]*Sales_Data[[#This Row],[Unit Price]]</f>
        <v>1400</v>
      </c>
      <c r="T144" s="2"/>
      <c r="U144" s="2"/>
      <c r="V144" s="2"/>
    </row>
    <row r="145" spans="1:22" x14ac:dyDescent="0.3">
      <c r="A145" t="s">
        <v>256</v>
      </c>
      <c r="B145" s="1">
        <v>46337</v>
      </c>
      <c r="C145" t="s">
        <v>28</v>
      </c>
      <c r="D145" t="s">
        <v>138</v>
      </c>
      <c r="E145" t="s">
        <v>13</v>
      </c>
      <c r="F145" t="s">
        <v>90</v>
      </c>
      <c r="G145" s="2">
        <v>2</v>
      </c>
      <c r="H145" s="2">
        <v>9200</v>
      </c>
      <c r="I145" s="2">
        <v>18400</v>
      </c>
      <c r="K145" s="5" t="str">
        <v>West</v>
      </c>
      <c r="L145" s="5" t="str">
        <v>Amit Verma</v>
      </c>
      <c r="M145" s="6">
        <f>Sales_Data[[#This Row],[Quantity]]*Sales_Data[[#This Row],[Unit Price]]</f>
        <v>18400</v>
      </c>
      <c r="T145" s="2"/>
      <c r="U145" s="2"/>
      <c r="V145" s="2"/>
    </row>
    <row r="146" spans="1:22" x14ac:dyDescent="0.3">
      <c r="A146" t="s">
        <v>257</v>
      </c>
      <c r="B146" s="1">
        <v>46338</v>
      </c>
      <c r="C146" t="s">
        <v>9</v>
      </c>
      <c r="D146" t="s">
        <v>92</v>
      </c>
      <c r="E146" t="s">
        <v>10</v>
      </c>
      <c r="F146" t="s">
        <v>93</v>
      </c>
      <c r="G146" s="2">
        <v>4</v>
      </c>
      <c r="H146" s="2">
        <v>2800</v>
      </c>
      <c r="I146" s="2">
        <v>11200</v>
      </c>
      <c r="K146" s="5" t="str">
        <v>South</v>
      </c>
      <c r="L146" s="5" t="str">
        <v>Kavya Mehta</v>
      </c>
      <c r="M146" s="6">
        <f>Sales_Data[[#This Row],[Quantity]]*Sales_Data[[#This Row],[Unit Price]]</f>
        <v>11200</v>
      </c>
      <c r="T146" s="2"/>
      <c r="U146" s="2"/>
      <c r="V146" s="2"/>
    </row>
    <row r="147" spans="1:22" x14ac:dyDescent="0.3">
      <c r="A147" t="s">
        <v>258</v>
      </c>
      <c r="B147" s="1">
        <v>46338</v>
      </c>
      <c r="C147" t="s">
        <v>35</v>
      </c>
      <c r="D147" t="s">
        <v>95</v>
      </c>
      <c r="E147" t="s">
        <v>21</v>
      </c>
      <c r="F147" t="s">
        <v>96</v>
      </c>
      <c r="G147" s="2">
        <v>20</v>
      </c>
      <c r="H147" s="2">
        <v>90</v>
      </c>
      <c r="I147" s="2">
        <v>1800</v>
      </c>
      <c r="K147" s="5" t="str">
        <v>North</v>
      </c>
      <c r="L147" s="5" t="str">
        <v>Arun Reddy</v>
      </c>
      <c r="M147" s="6">
        <f>Sales_Data[[#This Row],[Quantity]]*Sales_Data[[#This Row],[Unit Price]]</f>
        <v>1800</v>
      </c>
      <c r="T147" s="2"/>
      <c r="U147" s="2"/>
      <c r="V147" s="2"/>
    </row>
    <row r="148" spans="1:22" x14ac:dyDescent="0.3">
      <c r="A148" t="s">
        <v>259</v>
      </c>
      <c r="B148" s="1">
        <v>46339</v>
      </c>
      <c r="C148" t="s">
        <v>12</v>
      </c>
      <c r="D148" t="s">
        <v>98</v>
      </c>
      <c r="E148" t="s">
        <v>13</v>
      </c>
      <c r="F148" t="s">
        <v>99</v>
      </c>
      <c r="G148" s="2">
        <v>4</v>
      </c>
      <c r="H148" s="2">
        <v>3200</v>
      </c>
      <c r="I148" s="2">
        <v>12800</v>
      </c>
      <c r="K148" s="5" t="str">
        <v>East</v>
      </c>
      <c r="L148" s="5" t="str">
        <v>Rajesh Kumar</v>
      </c>
      <c r="M148" s="6">
        <f>Sales_Data[[#This Row],[Quantity]]*Sales_Data[[#This Row],[Unit Price]]</f>
        <v>12800</v>
      </c>
      <c r="T148" s="2"/>
      <c r="U148" s="2"/>
      <c r="V148" s="2"/>
    </row>
    <row r="149" spans="1:22" x14ac:dyDescent="0.3">
      <c r="A149" t="s">
        <v>260</v>
      </c>
      <c r="B149" s="1">
        <v>46339</v>
      </c>
      <c r="C149" t="s">
        <v>42</v>
      </c>
      <c r="D149" t="s">
        <v>36</v>
      </c>
      <c r="E149" t="s">
        <v>10</v>
      </c>
      <c r="F149" t="s">
        <v>101</v>
      </c>
      <c r="G149" s="2">
        <v>2</v>
      </c>
      <c r="H149" s="2">
        <v>6500</v>
      </c>
      <c r="I149" s="2">
        <v>13000</v>
      </c>
      <c r="K149" s="5" t="str">
        <v>West</v>
      </c>
      <c r="L149" s="5" t="str">
        <v>Sneha Rao</v>
      </c>
      <c r="M149" s="6">
        <f>Sales_Data[[#This Row],[Quantity]]*Sales_Data[[#This Row],[Unit Price]]</f>
        <v>13000</v>
      </c>
      <c r="T149" s="2"/>
      <c r="U149" s="2"/>
      <c r="V149" s="2"/>
    </row>
    <row r="150" spans="1:22" x14ac:dyDescent="0.3">
      <c r="A150" t="s">
        <v>261</v>
      </c>
      <c r="B150" s="1">
        <v>46340</v>
      </c>
      <c r="C150" t="s">
        <v>15</v>
      </c>
      <c r="D150" t="s">
        <v>56</v>
      </c>
      <c r="E150" t="s">
        <v>21</v>
      </c>
      <c r="F150" t="s">
        <v>103</v>
      </c>
      <c r="G150" s="2">
        <v>6</v>
      </c>
      <c r="H150" s="2">
        <v>1450</v>
      </c>
      <c r="I150" s="2">
        <v>8700</v>
      </c>
      <c r="K150" s="5" t="str">
        <v>South</v>
      </c>
      <c r="L150" s="5" t="str">
        <v>Anjali Singh</v>
      </c>
      <c r="M150" s="6">
        <f>Sales_Data[[#This Row],[Quantity]]*Sales_Data[[#This Row],[Unit Price]]</f>
        <v>8700</v>
      </c>
      <c r="T150" s="2"/>
      <c r="U150" s="2"/>
      <c r="V150" s="2"/>
    </row>
    <row r="151" spans="1:22" x14ac:dyDescent="0.3">
      <c r="A151" t="s">
        <v>262</v>
      </c>
      <c r="B151" s="1">
        <v>46340</v>
      </c>
      <c r="C151" t="s">
        <v>11</v>
      </c>
      <c r="D151" t="s">
        <v>46</v>
      </c>
      <c r="E151" t="s">
        <v>13</v>
      </c>
      <c r="F151" t="s">
        <v>105</v>
      </c>
      <c r="G151" s="2">
        <v>2</v>
      </c>
      <c r="H151" s="2">
        <v>18500</v>
      </c>
      <c r="I151" s="2">
        <v>37000</v>
      </c>
      <c r="K151" s="5" t="str">
        <v>North</v>
      </c>
      <c r="L151" s="5" t="str">
        <v>Vikram Das</v>
      </c>
      <c r="M151" s="6">
        <f>Sales_Data[[#This Row],[Quantity]]*Sales_Data[[#This Row],[Unit Price]]</f>
        <v>37000</v>
      </c>
      <c r="T151" s="2"/>
      <c r="U151" s="2"/>
      <c r="V151" s="2"/>
    </row>
    <row r="152" spans="1:22" x14ac:dyDescent="0.3">
      <c r="O152" s="1"/>
      <c r="T152" s="2"/>
      <c r="U152" s="2"/>
      <c r="V152" s="2"/>
    </row>
    <row r="153" spans="1:22" x14ac:dyDescent="0.3">
      <c r="O153" s="1"/>
      <c r="T153" s="2"/>
      <c r="U153" s="2"/>
      <c r="V153" s="2"/>
    </row>
    <row r="154" spans="1:22" x14ac:dyDescent="0.3">
      <c r="O154" s="1"/>
      <c r="T154" s="2"/>
      <c r="U154" s="2"/>
      <c r="V154" s="2"/>
    </row>
    <row r="155" spans="1:22" x14ac:dyDescent="0.3">
      <c r="O155" s="1"/>
      <c r="T155" s="2"/>
      <c r="U155" s="2"/>
      <c r="V155" s="2"/>
    </row>
    <row r="156" spans="1:22" x14ac:dyDescent="0.3">
      <c r="O156" s="1"/>
      <c r="T156" s="2"/>
      <c r="U156" s="2"/>
      <c r="V156" s="2"/>
    </row>
    <row r="157" spans="1:22" x14ac:dyDescent="0.3">
      <c r="O157" s="1"/>
      <c r="T157" s="2"/>
      <c r="U157" s="2"/>
      <c r="V157" s="2"/>
    </row>
    <row r="158" spans="1:22" x14ac:dyDescent="0.3">
      <c r="O158" s="1"/>
      <c r="T158" s="2"/>
      <c r="U158" s="2"/>
      <c r="V158" s="2"/>
    </row>
    <row r="159" spans="1:22" x14ac:dyDescent="0.3">
      <c r="O159" s="1"/>
      <c r="T159" s="2"/>
      <c r="U159" s="2"/>
      <c r="V159" s="2"/>
    </row>
    <row r="160" spans="1:22" x14ac:dyDescent="0.3">
      <c r="O160" s="1"/>
      <c r="T160" s="2"/>
      <c r="U160" s="2"/>
      <c r="V160" s="2"/>
    </row>
    <row r="161" spans="15:22" x14ac:dyDescent="0.3">
      <c r="O161" s="1"/>
      <c r="T161" s="2"/>
      <c r="U161" s="2"/>
      <c r="V161" s="2"/>
    </row>
    <row r="162" spans="15:22" x14ac:dyDescent="0.3">
      <c r="O162" s="1"/>
      <c r="T162" s="2"/>
      <c r="U162" s="2"/>
      <c r="V162" s="2"/>
    </row>
    <row r="163" spans="15:22" x14ac:dyDescent="0.3">
      <c r="O163" s="1"/>
      <c r="T163" s="2"/>
      <c r="U163" s="2"/>
      <c r="V163" s="2"/>
    </row>
  </sheetData>
  <conditionalFormatting sqref="I1:I151">
    <cfRule type="top10" dxfId="21" priority="1" bottom="1" rank="10"/>
    <cfRule type="top10" dxfId="20" priority="2"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D6AD-C703-47E4-94A5-8FB814B87860}">
  <sheetPr codeName="Sheet2"/>
  <dimension ref="A1:Y151"/>
  <sheetViews>
    <sheetView tabSelected="1" workbookViewId="0">
      <selection activeCell="L4" sqref="L4"/>
    </sheetView>
  </sheetViews>
  <sheetFormatPr defaultRowHeight="14.4" x14ac:dyDescent="0.3"/>
  <cols>
    <col min="1" max="1" width="11" bestFit="1" customWidth="1"/>
    <col min="2" max="2" width="10.33203125" bestFit="1" customWidth="1"/>
    <col min="3" max="3" width="9.44140625" bestFit="1" customWidth="1"/>
    <col min="4" max="4" width="14.33203125" bestFit="1" customWidth="1"/>
    <col min="5" max="5" width="14" bestFit="1" customWidth="1"/>
    <col min="6" max="6" width="17.88671875" bestFit="1" customWidth="1"/>
    <col min="7" max="7" width="11.109375" bestFit="1" customWidth="1"/>
    <col min="8" max="8" width="12.21875" bestFit="1" customWidth="1"/>
    <col min="9" max="9" width="12.109375" bestFit="1" customWidth="1"/>
    <col min="11" max="11" width="17.21875" bestFit="1" customWidth="1"/>
    <col min="12" max="12" width="9.5546875" bestFit="1" customWidth="1"/>
    <col min="13" max="13" width="10.33203125" bestFit="1" customWidth="1"/>
    <col min="16" max="16" width="10.5546875" bestFit="1" customWidth="1"/>
  </cols>
  <sheetData>
    <row r="1" spans="1:25" ht="27.6" customHeight="1" x14ac:dyDescent="0.45">
      <c r="A1" s="24" t="s">
        <v>272</v>
      </c>
      <c r="B1" s="24"/>
      <c r="C1" s="24"/>
      <c r="D1" s="24"/>
      <c r="E1" s="24"/>
      <c r="F1" s="24"/>
      <c r="G1" s="24"/>
      <c r="H1" s="24"/>
      <c r="I1" s="24"/>
      <c r="K1" s="25"/>
      <c r="L1" s="25"/>
      <c r="M1" s="25"/>
      <c r="N1" s="25"/>
      <c r="O1" s="25"/>
      <c r="P1" s="25"/>
      <c r="Q1" s="25"/>
      <c r="R1" s="25"/>
      <c r="S1" s="25"/>
      <c r="T1" s="25"/>
      <c r="U1" s="25"/>
      <c r="V1" s="25"/>
      <c r="W1" s="25"/>
      <c r="X1" s="25"/>
      <c r="Y1" s="25"/>
    </row>
    <row r="2" spans="1:25" ht="21" customHeight="1" x14ac:dyDescent="0.3">
      <c r="A2" s="15" t="s">
        <v>0</v>
      </c>
      <c r="B2" s="15" t="s">
        <v>1</v>
      </c>
      <c r="C2" s="22" t="s">
        <v>2</v>
      </c>
      <c r="D2" s="22" t="s">
        <v>3</v>
      </c>
      <c r="E2" s="22" t="s">
        <v>4</v>
      </c>
      <c r="F2" s="12" t="s">
        <v>5</v>
      </c>
      <c r="G2" s="15" t="s">
        <v>6</v>
      </c>
      <c r="H2" s="14" t="s">
        <v>7</v>
      </c>
      <c r="I2" s="17" t="s">
        <v>8</v>
      </c>
      <c r="K2" s="12" t="s">
        <v>5</v>
      </c>
      <c r="L2" s="13" t="s">
        <v>4</v>
      </c>
      <c r="M2" s="14" t="s">
        <v>7</v>
      </c>
    </row>
    <row r="3" spans="1:25" x14ac:dyDescent="0.3">
      <c r="A3" t="s">
        <v>19</v>
      </c>
      <c r="B3" s="1">
        <v>46266</v>
      </c>
      <c r="C3" s="5" t="str">
        <f>PROPER(TRIM(Sales_Data[[#This Row],[Region]]))</f>
        <v>North</v>
      </c>
      <c r="D3" s="5" t="str">
        <f>PROPER(TRIM(Sales_Data[[#This Row],[Sales Rep]]))</f>
        <v>Priya Sharma</v>
      </c>
      <c r="E3" s="5" t="s">
        <v>21</v>
      </c>
      <c r="F3" s="5" t="str">
        <f>PROPER(TRIM(Sales_Data[[#This Row],[Product]]))</f>
        <v>Notebook</v>
      </c>
      <c r="G3" s="3">
        <v>10</v>
      </c>
      <c r="H3" s="2">
        <v>120</v>
      </c>
      <c r="I3" s="2">
        <v>1200</v>
      </c>
      <c r="K3" s="10" t="s">
        <v>18</v>
      </c>
      <c r="L3" s="6">
        <f>VLOOKUP(K3,Sales_Data[[Product]:[Unit Price]],2,FALSE)</f>
        <v>4</v>
      </c>
      <c r="M3" s="6">
        <f>VLOOKUP(K3,Sales_Data[[Product]:[Unit Price]],3,FALSE)</f>
        <v>650</v>
      </c>
    </row>
    <row r="4" spans="1:25" x14ac:dyDescent="0.3">
      <c r="A4" t="s">
        <v>23</v>
      </c>
      <c r="B4" s="1">
        <v>46267</v>
      </c>
      <c r="C4" s="5" t="str">
        <f>PROPER(TRIM(Sales_Data[[#This Row],[Region]]))</f>
        <v>East</v>
      </c>
      <c r="D4" s="5" t="str">
        <f>PROPER(TRIM(Sales_Data[[#This Row],[Sales Rep]]))</f>
        <v>Amit Verma</v>
      </c>
      <c r="E4" s="5" t="s">
        <v>13</v>
      </c>
      <c r="F4" s="5" t="str">
        <f>PROPER(TRIM(Sales_Data[[#This Row],[Product]]))</f>
        <v>Office Chair</v>
      </c>
      <c r="G4" s="3">
        <v>2</v>
      </c>
      <c r="H4" s="2">
        <v>4500</v>
      </c>
      <c r="I4" s="2">
        <v>9000</v>
      </c>
      <c r="K4" s="11" t="s">
        <v>22</v>
      </c>
      <c r="L4" s="6">
        <f>VLOOKUP(K4,Sales_Data[[Product]:[Unit Price]],2,FALSE)</f>
        <v>10</v>
      </c>
      <c r="M4" s="6">
        <f>VLOOKUP(K4,Sales_Data[[Product]:[Unit Price]],3,FALSE)</f>
        <v>120</v>
      </c>
    </row>
    <row r="5" spans="1:25" x14ac:dyDescent="0.3">
      <c r="A5" t="s">
        <v>27</v>
      </c>
      <c r="B5" s="1">
        <v>46267</v>
      </c>
      <c r="C5" s="5" t="str">
        <f>PROPER(TRIM(Sales_Data[[#This Row],[Region]]))</f>
        <v>West</v>
      </c>
      <c r="D5" s="5" t="str">
        <f>PROPER(TRIM(Sales_Data[[#This Row],[Sales Rep]]))</f>
        <v>Neha Patel</v>
      </c>
      <c r="E5" s="5" t="s">
        <v>10</v>
      </c>
      <c r="F5" s="5" t="str">
        <f>PROPER(TRIM(Sales_Data[[#This Row],[Product]]))</f>
        <v>Keyboard</v>
      </c>
      <c r="G5" s="3">
        <v>5</v>
      </c>
      <c r="H5" s="2">
        <v>850</v>
      </c>
      <c r="I5" s="2">
        <v>4250</v>
      </c>
      <c r="K5" s="10" t="s">
        <v>26</v>
      </c>
      <c r="L5" s="6">
        <f>VLOOKUP(K5,Sales_Data[[Product]:[Unit Price]],2,FALSE)</f>
        <v>2</v>
      </c>
      <c r="M5" s="6">
        <f>VLOOKUP(K5,Sales_Data[[Product]:[Unit Price]],3,FALSE)</f>
        <v>4500</v>
      </c>
    </row>
    <row r="6" spans="1:25" x14ac:dyDescent="0.3">
      <c r="A6" t="s">
        <v>31</v>
      </c>
      <c r="B6" s="1">
        <v>46268</v>
      </c>
      <c r="C6" s="5" t="str">
        <f>PROPER(TRIM(Sales_Data[[#This Row],[Region]]))</f>
        <v>South</v>
      </c>
      <c r="D6" s="5" t="str">
        <f>PROPER(TRIM(Sales_Data[[#This Row],[Sales Rep]]))</f>
        <v>Arun Reddy</v>
      </c>
      <c r="E6" s="5" t="s">
        <v>21</v>
      </c>
      <c r="F6" s="5" t="str">
        <f>PROPER(TRIM(Sales_Data[[#This Row],[Product]]))</f>
        <v>Pen Set</v>
      </c>
      <c r="G6" s="3">
        <v>15</v>
      </c>
      <c r="H6" s="2">
        <v>80</v>
      </c>
      <c r="I6" s="2">
        <v>1200</v>
      </c>
      <c r="K6" s="11" t="s">
        <v>30</v>
      </c>
      <c r="L6" s="23">
        <f>VLOOKUP(K6,Sales_Data[[Product]:[Unit Price]],2,FALSE)</f>
        <v>5</v>
      </c>
      <c r="M6" s="6">
        <f>VLOOKUP(K6,Sales_Data[[Product]:[Unit Price]],3,FALSE)</f>
        <v>850</v>
      </c>
    </row>
    <row r="7" spans="1:25" x14ac:dyDescent="0.3">
      <c r="A7" t="s">
        <v>34</v>
      </c>
      <c r="B7" s="1">
        <v>46268</v>
      </c>
      <c r="C7" s="5" t="str">
        <f>PROPER(TRIM(Sales_Data[[#This Row],[Region]]))</f>
        <v>North</v>
      </c>
      <c r="D7" s="5" t="str">
        <f>PROPER(TRIM(Sales_Data[[#This Row],[Sales Rep]]))</f>
        <v>Sneha Rao</v>
      </c>
      <c r="E7" s="5" t="s">
        <v>13</v>
      </c>
      <c r="F7" s="5" t="str">
        <f>PROPER(TRIM(Sales_Data[[#This Row],[Product]]))</f>
        <v>Office Table</v>
      </c>
      <c r="G7" s="3">
        <v>1</v>
      </c>
      <c r="H7" s="2">
        <v>7500</v>
      </c>
      <c r="I7" s="2">
        <v>7500</v>
      </c>
      <c r="K7" s="10" t="s">
        <v>33</v>
      </c>
      <c r="L7" s="6">
        <f>VLOOKUP(K7,Sales_Data[[Product]:[Unit Price]],2,FALSE)</f>
        <v>15</v>
      </c>
      <c r="M7" s="6">
        <f>VLOOKUP(K7,Sales_Data[[Product]:[Unit Price]],3,FALSE)</f>
        <v>80</v>
      </c>
    </row>
    <row r="8" spans="1:25" x14ac:dyDescent="0.3">
      <c r="A8" t="s">
        <v>38</v>
      </c>
      <c r="B8" s="1">
        <v>46269</v>
      </c>
      <c r="C8" s="5" t="str">
        <f>PROPER(TRIM(Sales_Data[[#This Row],[Region]]))</f>
        <v>East</v>
      </c>
      <c r="D8" s="5" t="str">
        <f>PROPER(TRIM(Sales_Data[[#This Row],[Sales Rep]]))</f>
        <v>Rahul Singh</v>
      </c>
      <c r="E8" s="5" t="s">
        <v>10</v>
      </c>
      <c r="F8" s="5" t="str">
        <f>PROPER(TRIM(Sales_Data[[#This Row],[Product]]))</f>
        <v>Usb Cable</v>
      </c>
      <c r="G8" s="3">
        <v>8</v>
      </c>
      <c r="H8" s="2">
        <v>300</v>
      </c>
      <c r="I8" s="2">
        <v>2400</v>
      </c>
      <c r="K8" s="11" t="s">
        <v>37</v>
      </c>
      <c r="L8" s="6">
        <f>VLOOKUP(K8,Sales_Data[[Product]:[Unit Price]],2,FALSE)</f>
        <v>1</v>
      </c>
      <c r="M8" s="6">
        <f>VLOOKUP(K8,Sales_Data[[Product]:[Unit Price]],3,FALSE)</f>
        <v>7500</v>
      </c>
    </row>
    <row r="9" spans="1:25" x14ac:dyDescent="0.3">
      <c r="A9" t="s">
        <v>41</v>
      </c>
      <c r="B9" s="1">
        <v>46269</v>
      </c>
      <c r="C9" s="5" t="str">
        <f>PROPER(TRIM(Sales_Data[[#This Row],[Region]]))</f>
        <v>West</v>
      </c>
      <c r="D9" s="5" t="str">
        <f>PROPER(TRIM(Sales_Data[[#This Row],[Sales Rep]]))</f>
        <v>Kavya Mehta</v>
      </c>
      <c r="E9" s="5" t="s">
        <v>21</v>
      </c>
      <c r="F9" s="5" t="str">
        <f>PROPER(TRIM(Sales_Data[[#This Row],[Product]]))</f>
        <v>File Folder</v>
      </c>
      <c r="G9" s="2">
        <v>20</v>
      </c>
      <c r="H9" s="2">
        <v>60</v>
      </c>
      <c r="I9" s="2">
        <v>1200</v>
      </c>
      <c r="K9" s="10" t="s">
        <v>40</v>
      </c>
      <c r="L9" s="6">
        <f>VLOOKUP(K9,Sales_Data[[Product]:[Unit Price]],2,FALSE)</f>
        <v>8</v>
      </c>
      <c r="M9" s="6">
        <f>VLOOKUP(K9,Sales_Data[[Product]:[Unit Price]],3,FALSE)</f>
        <v>300</v>
      </c>
    </row>
    <row r="10" spans="1:25" x14ac:dyDescent="0.3">
      <c r="A10" t="s">
        <v>45</v>
      </c>
      <c r="B10" s="1">
        <v>46270</v>
      </c>
      <c r="C10" s="5" t="str">
        <f>PROPER(TRIM(Sales_Data[[#This Row],[Region]]))</f>
        <v>South</v>
      </c>
      <c r="D10" s="5" t="str">
        <f>PROPER(TRIM(Sales_Data[[#This Row],[Sales Rep]]))</f>
        <v>Vikram Das</v>
      </c>
      <c r="E10" s="5" t="s">
        <v>13</v>
      </c>
      <c r="F10" s="5" t="str">
        <f>PROPER(TRIM(Sales_Data[[#This Row],[Product]]))</f>
        <v>Bookshelf</v>
      </c>
      <c r="G10" s="2">
        <v>2</v>
      </c>
      <c r="H10" s="2">
        <v>5200</v>
      </c>
      <c r="I10" s="2">
        <v>10400</v>
      </c>
      <c r="K10" s="11" t="s">
        <v>44</v>
      </c>
      <c r="L10" s="6">
        <f>VLOOKUP(K10,Sales_Data[[Product]:[Unit Price]],2,FALSE)</f>
        <v>20</v>
      </c>
      <c r="M10" s="6">
        <f>VLOOKUP(K10,Sales_Data[[Product]:[Unit Price]],3,FALSE)</f>
        <v>60</v>
      </c>
    </row>
    <row r="11" spans="1:25" x14ac:dyDescent="0.3">
      <c r="A11" t="s">
        <v>48</v>
      </c>
      <c r="B11" s="1">
        <v>46270</v>
      </c>
      <c r="C11" s="5" t="str">
        <f>PROPER(TRIM(Sales_Data[[#This Row],[Region]]))</f>
        <v>North</v>
      </c>
      <c r="D11" s="5" t="str">
        <f>PROPER(TRIM(Sales_Data[[#This Row],[Sales Rep]]))</f>
        <v>Pooja Nair</v>
      </c>
      <c r="E11" s="5" t="s">
        <v>10</v>
      </c>
      <c r="F11" s="5" t="str">
        <f>PROPER(TRIM(Sales_Data[[#This Row],[Product]]))</f>
        <v>Monitor</v>
      </c>
      <c r="G11" s="2">
        <v>3</v>
      </c>
      <c r="H11" s="2">
        <v>12500</v>
      </c>
      <c r="I11" s="2">
        <v>37500</v>
      </c>
      <c r="K11" s="10" t="s">
        <v>47</v>
      </c>
      <c r="L11" s="6">
        <f>VLOOKUP(K11,Sales_Data[[Product]:[Unit Price]],2,FALSE)</f>
        <v>2</v>
      </c>
      <c r="M11" s="6">
        <f>VLOOKUP(K11,Sales_Data[[Product]:[Unit Price]],3,FALSE)</f>
        <v>5200</v>
      </c>
    </row>
    <row r="12" spans="1:25" x14ac:dyDescent="0.3">
      <c r="A12" t="s">
        <v>51</v>
      </c>
      <c r="B12" s="1">
        <v>46271</v>
      </c>
      <c r="C12" s="5" t="str">
        <f>PROPER(TRIM(Sales_Data[[#This Row],[Region]]))</f>
        <v>East</v>
      </c>
      <c r="D12" s="5" t="str">
        <f>PROPER(TRIM(Sales_Data[[#This Row],[Sales Rep]]))</f>
        <v>Ramesh Kumar</v>
      </c>
      <c r="E12" s="5" t="s">
        <v>21</v>
      </c>
      <c r="F12" s="5" t="str">
        <f>PROPER(TRIM(Sales_Data[[#This Row],[Product]]))</f>
        <v>Stapler</v>
      </c>
      <c r="G12" s="2">
        <v>7</v>
      </c>
      <c r="H12" s="2">
        <v>180</v>
      </c>
      <c r="I12" s="2">
        <v>1260</v>
      </c>
      <c r="K12" s="11" t="s">
        <v>50</v>
      </c>
      <c r="L12" s="6">
        <f>VLOOKUP(K12,Sales_Data[[Product]:[Unit Price]],2,FALSE)</f>
        <v>3</v>
      </c>
      <c r="M12" s="6">
        <f>VLOOKUP(K12,Sales_Data[[Product]:[Unit Price]],3,FALSE)</f>
        <v>12500</v>
      </c>
    </row>
    <row r="13" spans="1:25" x14ac:dyDescent="0.3">
      <c r="A13" t="s">
        <v>55</v>
      </c>
      <c r="B13" s="1">
        <v>46271</v>
      </c>
      <c r="C13" s="5" t="str">
        <f>PROPER(TRIM(Sales_Data[[#This Row],[Region]]))</f>
        <v>West</v>
      </c>
      <c r="D13" s="5" t="str">
        <f>PROPER(TRIM(Sales_Data[[#This Row],[Sales Rep]]))</f>
        <v>Anjali Singh</v>
      </c>
      <c r="E13" s="5" t="s">
        <v>13</v>
      </c>
      <c r="F13" s="5" t="str">
        <f>PROPER(TRIM(Sales_Data[[#This Row],[Product]]))</f>
        <v>Visitor Chair</v>
      </c>
      <c r="G13" s="2">
        <v>6</v>
      </c>
      <c r="H13" s="2">
        <v>2200</v>
      </c>
      <c r="I13" s="2">
        <v>13200</v>
      </c>
      <c r="K13" s="10" t="s">
        <v>54</v>
      </c>
      <c r="L13" s="6">
        <f>VLOOKUP(K13,Sales_Data[[Product]:[Unit Price]],2,FALSE)</f>
        <v>7</v>
      </c>
      <c r="M13" s="6">
        <f>VLOOKUP(K13,Sales_Data[[Product]:[Unit Price]],3,FALSE)</f>
        <v>180</v>
      </c>
    </row>
    <row r="14" spans="1:25" x14ac:dyDescent="0.3">
      <c r="A14" t="s">
        <v>58</v>
      </c>
      <c r="B14" s="1">
        <v>46272</v>
      </c>
      <c r="C14" s="5" t="str">
        <f>PROPER(TRIM(Sales_Data[[#This Row],[Region]]))</f>
        <v>South</v>
      </c>
      <c r="D14" s="5" t="str">
        <f>PROPER(TRIM(Sales_Data[[#This Row],[Sales Rep]]))</f>
        <v>Mahesh Reddy</v>
      </c>
      <c r="E14" s="5" t="s">
        <v>10</v>
      </c>
      <c r="F14" s="5" t="str">
        <f>PROPER(TRIM(Sales_Data[[#This Row],[Product]]))</f>
        <v>Headphones</v>
      </c>
      <c r="G14" s="2">
        <v>4</v>
      </c>
      <c r="H14" s="2">
        <v>1800</v>
      </c>
      <c r="I14" s="2">
        <v>7200</v>
      </c>
      <c r="K14" s="11" t="s">
        <v>57</v>
      </c>
      <c r="L14" s="6">
        <f>VLOOKUP(K14,Sales_Data[[Product]:[Unit Price]],2,FALSE)</f>
        <v>6</v>
      </c>
      <c r="M14" s="6">
        <f>VLOOKUP(K14,Sales_Data[[Product]:[Unit Price]],3,FALSE)</f>
        <v>2200</v>
      </c>
    </row>
    <row r="15" spans="1:25" x14ac:dyDescent="0.3">
      <c r="A15" t="s">
        <v>62</v>
      </c>
      <c r="B15" s="1">
        <v>46272</v>
      </c>
      <c r="C15" s="5" t="str">
        <f>PROPER(TRIM(Sales_Data[[#This Row],[Region]]))</f>
        <v>North</v>
      </c>
      <c r="D15" s="5" t="str">
        <f>PROPER(TRIM(Sales_Data[[#This Row],[Sales Rep]]))</f>
        <v>Divya Patel</v>
      </c>
      <c r="E15" s="5" t="s">
        <v>21</v>
      </c>
      <c r="F15" s="5" t="str">
        <f>PROPER(TRIM(Sales_Data[[#This Row],[Product]]))</f>
        <v>Whiteboard</v>
      </c>
      <c r="G15" s="2">
        <v>2</v>
      </c>
      <c r="H15" s="2">
        <v>2500</v>
      </c>
      <c r="I15" s="2">
        <v>5000</v>
      </c>
      <c r="K15" s="10" t="s">
        <v>61</v>
      </c>
      <c r="L15" s="6">
        <f>VLOOKUP(K15,Sales_Data[[Product]:[Unit Price]],2,FALSE)</f>
        <v>4</v>
      </c>
      <c r="M15" s="6">
        <f>VLOOKUP(K15,Sales_Data[[Product]:[Unit Price]],3,FALSE)</f>
        <v>1800</v>
      </c>
    </row>
    <row r="16" spans="1:25" x14ac:dyDescent="0.3">
      <c r="A16" t="s">
        <v>65</v>
      </c>
      <c r="B16" s="1">
        <v>46273</v>
      </c>
      <c r="C16" s="5" t="str">
        <f>PROPER(TRIM(Sales_Data[[#This Row],[Region]]))</f>
        <v>East</v>
      </c>
      <c r="D16" s="5" t="str">
        <f>PROPER(TRIM(Sales_Data[[#This Row],[Sales Rep]]))</f>
        <v>Karan Shah</v>
      </c>
      <c r="E16" s="5" t="s">
        <v>13</v>
      </c>
      <c r="F16" s="5" t="str">
        <f>PROPER(TRIM(Sales_Data[[#This Row],[Product]]))</f>
        <v>Filing Cabinet</v>
      </c>
      <c r="G16" s="2">
        <v>2</v>
      </c>
      <c r="H16" s="2">
        <v>6800</v>
      </c>
      <c r="I16" s="2">
        <v>13600</v>
      </c>
      <c r="K16" s="11" t="s">
        <v>64</v>
      </c>
      <c r="L16" s="6">
        <f>VLOOKUP(K16,Sales_Data[[Product]:[Unit Price]],2,FALSE)</f>
        <v>2</v>
      </c>
      <c r="M16" s="6">
        <f>VLOOKUP(K16,Sales_Data[[Product]:[Unit Price]],3,FALSE)</f>
        <v>2500</v>
      </c>
    </row>
    <row r="17" spans="1:13" x14ac:dyDescent="0.3">
      <c r="A17" t="s">
        <v>68</v>
      </c>
      <c r="B17" s="1">
        <v>46273</v>
      </c>
      <c r="C17" s="5" t="str">
        <f>PROPER(TRIM(Sales_Data[[#This Row],[Region]]))</f>
        <v>West</v>
      </c>
      <c r="D17" s="5" t="str">
        <f>PROPER(TRIM(Sales_Data[[#This Row],[Sales Rep]]))</f>
        <v>Swathi Rao</v>
      </c>
      <c r="E17" s="5" t="s">
        <v>10</v>
      </c>
      <c r="F17" s="5" t="str">
        <f>PROPER(TRIM(Sales_Data[[#This Row],[Product]]))</f>
        <v>Webcam</v>
      </c>
      <c r="G17" s="2">
        <v>3</v>
      </c>
      <c r="H17" s="2">
        <v>3200</v>
      </c>
      <c r="I17" s="2">
        <v>9600</v>
      </c>
      <c r="K17" s="10" t="s">
        <v>67</v>
      </c>
      <c r="L17" s="6">
        <f>VLOOKUP(K17,Sales_Data[[Product]:[Unit Price]],2,FALSE)</f>
        <v>2</v>
      </c>
      <c r="M17" s="6">
        <f>VLOOKUP(K17,Sales_Data[[Product]:[Unit Price]],3,FALSE)</f>
        <v>6800</v>
      </c>
    </row>
    <row r="18" spans="1:13" x14ac:dyDescent="0.3">
      <c r="A18" t="s">
        <v>71</v>
      </c>
      <c r="B18" s="1">
        <v>46274</v>
      </c>
      <c r="C18" s="5" t="str">
        <f>PROPER(TRIM(Sales_Data[[#This Row],[Region]]))</f>
        <v>South</v>
      </c>
      <c r="D18" s="5" t="str">
        <f>PROPER(TRIM(Sales_Data[[#This Row],[Sales Rep]]))</f>
        <v>Suresh Kumar</v>
      </c>
      <c r="E18" s="5" t="s">
        <v>21</v>
      </c>
      <c r="F18" s="5" t="str">
        <f>PROPER(TRIM(Sales_Data[[#This Row],[Product]]))</f>
        <v>Calculator</v>
      </c>
      <c r="G18" s="2">
        <v>5</v>
      </c>
      <c r="H18" s="2">
        <v>450</v>
      </c>
      <c r="I18" s="2">
        <v>2250</v>
      </c>
      <c r="K18" s="11" t="s">
        <v>70</v>
      </c>
      <c r="L18" s="6">
        <f>VLOOKUP(K18,Sales_Data[[Product]:[Unit Price]],2,FALSE)</f>
        <v>3</v>
      </c>
      <c r="M18" s="6">
        <f>VLOOKUP(K18,Sales_Data[[Product]:[Unit Price]],3,FALSE)</f>
        <v>3200</v>
      </c>
    </row>
    <row r="19" spans="1:13" x14ac:dyDescent="0.3">
      <c r="A19" t="s">
        <v>74</v>
      </c>
      <c r="B19" s="1">
        <v>46274</v>
      </c>
      <c r="C19" s="5" t="str">
        <f>PROPER(TRIM(Sales_Data[[#This Row],[Region]]))</f>
        <v>North</v>
      </c>
      <c r="D19" s="5" t="str">
        <f>PROPER(TRIM(Sales_Data[[#This Row],[Sales Rep]]))</f>
        <v>Meena Devi</v>
      </c>
      <c r="E19" s="5" t="s">
        <v>13</v>
      </c>
      <c r="F19" s="5" t="str">
        <f>PROPER(TRIM(Sales_Data[[#This Row],[Product]]))</f>
        <v>Conference Table</v>
      </c>
      <c r="G19" s="2">
        <v>1</v>
      </c>
      <c r="H19" s="2">
        <v>14500</v>
      </c>
      <c r="I19" s="2">
        <v>14500</v>
      </c>
      <c r="K19" s="10" t="s">
        <v>73</v>
      </c>
      <c r="L19" s="6">
        <f>VLOOKUP(K19,Sales_Data[[Product]:[Unit Price]],2,FALSE)</f>
        <v>5</v>
      </c>
      <c r="M19" s="6">
        <f>VLOOKUP(K19,Sales_Data[[Product]:[Unit Price]],3,FALSE)</f>
        <v>450</v>
      </c>
    </row>
    <row r="20" spans="1:13" x14ac:dyDescent="0.3">
      <c r="A20" t="s">
        <v>77</v>
      </c>
      <c r="B20" s="1">
        <v>46275</v>
      </c>
      <c r="C20" s="5" t="str">
        <f>PROPER(TRIM(Sales_Data[[#This Row],[Region]]))</f>
        <v>East</v>
      </c>
      <c r="D20" s="5" t="str">
        <f>PROPER(TRIM(Sales_Data[[#This Row],[Sales Rep]]))</f>
        <v>Ajay Verma</v>
      </c>
      <c r="E20" s="5" t="s">
        <v>10</v>
      </c>
      <c r="F20" s="5" t="str">
        <f>PROPER(TRIM(Sales_Data[[#This Row],[Product]]))</f>
        <v>Printer</v>
      </c>
      <c r="G20" s="2">
        <v>2</v>
      </c>
      <c r="H20" s="2">
        <v>8500</v>
      </c>
      <c r="I20" s="2">
        <v>17000</v>
      </c>
      <c r="K20" s="11" t="s">
        <v>76</v>
      </c>
      <c r="L20" s="6">
        <f>VLOOKUP(K20,Sales_Data[[Product]:[Unit Price]],2,FALSE)</f>
        <v>1</v>
      </c>
      <c r="M20" s="6">
        <f>VLOOKUP(K20,Sales_Data[[Product]:[Unit Price]],3,FALSE)</f>
        <v>14500</v>
      </c>
    </row>
    <row r="21" spans="1:13" x14ac:dyDescent="0.3">
      <c r="A21" t="s">
        <v>80</v>
      </c>
      <c r="B21" s="1">
        <v>46275</v>
      </c>
      <c r="C21" s="5" t="str">
        <f>PROPER(TRIM(Sales_Data[[#This Row],[Region]]))</f>
        <v>West</v>
      </c>
      <c r="D21" s="5" t="str">
        <f>PROPER(TRIM(Sales_Data[[#This Row],[Sales Rep]]))</f>
        <v>Ravi Nair</v>
      </c>
      <c r="E21" s="5" t="s">
        <v>21</v>
      </c>
      <c r="F21" s="5" t="str">
        <f>PROPER(TRIM(Sales_Data[[#This Row],[Product]]))</f>
        <v>Diary</v>
      </c>
      <c r="G21" s="2">
        <v>12</v>
      </c>
      <c r="H21" s="2">
        <v>250</v>
      </c>
      <c r="I21" s="2">
        <v>3000</v>
      </c>
      <c r="K21" s="10" t="s">
        <v>79</v>
      </c>
      <c r="L21" s="6">
        <f>VLOOKUP(K21,Sales_Data[[Product]:[Unit Price]],2,FALSE)</f>
        <v>2</v>
      </c>
      <c r="M21" s="6">
        <f>VLOOKUP(K21,Sales_Data[[Product]:[Unit Price]],3,FALSE)</f>
        <v>8500</v>
      </c>
    </row>
    <row r="22" spans="1:13" x14ac:dyDescent="0.3">
      <c r="A22" t="s">
        <v>83</v>
      </c>
      <c r="B22" s="1">
        <v>46276</v>
      </c>
      <c r="C22" s="5" t="str">
        <f>PROPER(TRIM(Sales_Data[[#This Row],[Region]]))</f>
        <v>South</v>
      </c>
      <c r="D22" s="5" t="str">
        <f>PROPER(TRIM(Sales_Data[[#This Row],[Sales Rep]]))</f>
        <v>Priya Sharma</v>
      </c>
      <c r="E22" s="5" t="s">
        <v>13</v>
      </c>
      <c r="F22" s="5" t="str">
        <f>PROPER(TRIM(Sales_Data[[#This Row],[Product]]))</f>
        <v>Executive Chair</v>
      </c>
      <c r="G22" s="2">
        <v>2</v>
      </c>
      <c r="H22" s="2">
        <v>8500</v>
      </c>
      <c r="I22" s="2">
        <v>17000</v>
      </c>
      <c r="K22" s="11" t="s">
        <v>82</v>
      </c>
      <c r="L22" s="6">
        <f>VLOOKUP(K22,Sales_Data[[Product]:[Unit Price]],2,FALSE)</f>
        <v>12</v>
      </c>
      <c r="M22" s="6">
        <f>VLOOKUP(K22,Sales_Data[[Product]:[Unit Price]],3,FALSE)</f>
        <v>250</v>
      </c>
    </row>
    <row r="23" spans="1:13" x14ac:dyDescent="0.3">
      <c r="A23" t="s">
        <v>85</v>
      </c>
      <c r="B23" s="1">
        <v>46276</v>
      </c>
      <c r="C23" s="5" t="str">
        <f>PROPER(TRIM(Sales_Data[[#This Row],[Region]]))</f>
        <v>North</v>
      </c>
      <c r="D23" s="5" t="str">
        <f>PROPER(TRIM(Sales_Data[[#This Row],[Sales Rep]]))</f>
        <v>Rahul Singh</v>
      </c>
      <c r="E23" s="5" t="s">
        <v>10</v>
      </c>
      <c r="F23" s="5" t="str">
        <f>PROPER(TRIM(Sales_Data[[#This Row],[Product]]))</f>
        <v>Laptop Stand</v>
      </c>
      <c r="G23" s="2">
        <v>4</v>
      </c>
      <c r="H23" s="2">
        <v>2200</v>
      </c>
      <c r="I23" s="2">
        <v>8800</v>
      </c>
      <c r="K23" s="10" t="s">
        <v>84</v>
      </c>
      <c r="L23" s="6">
        <f>VLOOKUP(K23,Sales_Data[[Product]:[Unit Price]],2,FALSE)</f>
        <v>2</v>
      </c>
      <c r="M23" s="6">
        <f>VLOOKUP(K23,Sales_Data[[Product]:[Unit Price]],3,FALSE)</f>
        <v>8500</v>
      </c>
    </row>
    <row r="24" spans="1:13" x14ac:dyDescent="0.3">
      <c r="A24" t="s">
        <v>87</v>
      </c>
      <c r="B24" s="1">
        <v>46277</v>
      </c>
      <c r="C24" s="5" t="str">
        <f>PROPER(TRIM(Sales_Data[[#This Row],[Region]]))</f>
        <v>East</v>
      </c>
      <c r="D24" s="5" t="str">
        <f>PROPER(TRIM(Sales_Data[[#This Row],[Sales Rep]]))</f>
        <v>Neha Patel</v>
      </c>
      <c r="E24" s="5" t="s">
        <v>21</v>
      </c>
      <c r="F24" s="5" t="str">
        <f>PROPER(TRIM(Sales_Data[[#This Row],[Product]]))</f>
        <v>Highlighter</v>
      </c>
      <c r="G24" s="2">
        <v>18</v>
      </c>
      <c r="H24" s="2">
        <v>70</v>
      </c>
      <c r="I24" s="2">
        <v>1260</v>
      </c>
      <c r="K24" s="11" t="s">
        <v>86</v>
      </c>
      <c r="L24" s="6">
        <f>VLOOKUP(K24,Sales_Data[[Product]:[Unit Price]],2,FALSE)</f>
        <v>4</v>
      </c>
      <c r="M24" s="6">
        <f>VLOOKUP(K24,Sales_Data[[Product]:[Unit Price]],3,FALSE)</f>
        <v>2200</v>
      </c>
    </row>
    <row r="25" spans="1:13" x14ac:dyDescent="0.3">
      <c r="A25" t="s">
        <v>89</v>
      </c>
      <c r="B25" s="1">
        <v>46277</v>
      </c>
      <c r="C25" s="5" t="str">
        <f>PROPER(TRIM(Sales_Data[[#This Row],[Region]]))</f>
        <v>West</v>
      </c>
      <c r="D25" s="5" t="str">
        <f>PROPER(TRIM(Sales_Data[[#This Row],[Sales Rep]]))</f>
        <v>Amit Verma</v>
      </c>
      <c r="E25" s="5" t="s">
        <v>13</v>
      </c>
      <c r="F25" s="5" t="str">
        <f>PROPER(TRIM(Sales_Data[[#This Row],[Product]]))</f>
        <v>Desk</v>
      </c>
      <c r="G25" s="2">
        <v>2</v>
      </c>
      <c r="H25" s="2">
        <v>9200</v>
      </c>
      <c r="I25" s="2">
        <v>18400</v>
      </c>
      <c r="K25" s="10" t="s">
        <v>88</v>
      </c>
      <c r="L25" s="6">
        <f>VLOOKUP(K25,Sales_Data[[Product]:[Unit Price]],2,FALSE)</f>
        <v>18</v>
      </c>
      <c r="M25" s="6">
        <f>VLOOKUP(K25,Sales_Data[[Product]:[Unit Price]],3,FALSE)</f>
        <v>70</v>
      </c>
    </row>
    <row r="26" spans="1:13" x14ac:dyDescent="0.3">
      <c r="A26" t="s">
        <v>91</v>
      </c>
      <c r="B26" s="1">
        <v>46278</v>
      </c>
      <c r="C26" s="5" t="str">
        <f>PROPER(TRIM(Sales_Data[[#This Row],[Region]]))</f>
        <v>South</v>
      </c>
      <c r="D26" s="5" t="str">
        <f>PROPER(TRIM(Sales_Data[[#This Row],[Sales Rep]]))</f>
        <v>Kavya Mehta</v>
      </c>
      <c r="E26" s="5" t="s">
        <v>10</v>
      </c>
      <c r="F26" s="5" t="str">
        <f>PROPER(TRIM(Sales_Data[[#This Row],[Product]]))</f>
        <v>Speaker</v>
      </c>
      <c r="G26" s="2">
        <v>3</v>
      </c>
      <c r="H26" s="2">
        <v>2800</v>
      </c>
      <c r="I26" s="2">
        <v>8400</v>
      </c>
      <c r="K26" s="11" t="s">
        <v>90</v>
      </c>
      <c r="L26" s="6">
        <f>VLOOKUP(K26,Sales_Data[[Product]:[Unit Price]],2,FALSE)</f>
        <v>2</v>
      </c>
      <c r="M26" s="6">
        <f>VLOOKUP(K26,Sales_Data[[Product]:[Unit Price]],3,FALSE)</f>
        <v>9200</v>
      </c>
    </row>
    <row r="27" spans="1:13" x14ac:dyDescent="0.3">
      <c r="A27" t="s">
        <v>94</v>
      </c>
      <c r="B27" s="1">
        <v>46278</v>
      </c>
      <c r="C27" s="5" t="str">
        <f>PROPER(TRIM(Sales_Data[[#This Row],[Region]]))</f>
        <v>North</v>
      </c>
      <c r="D27" s="5" t="str">
        <f>PROPER(TRIM(Sales_Data[[#This Row],[Sales Rep]]))</f>
        <v>Arun Reddy</v>
      </c>
      <c r="E27" s="5" t="s">
        <v>21</v>
      </c>
      <c r="F27" s="5" t="str">
        <f>PROPER(TRIM(Sales_Data[[#This Row],[Product]]))</f>
        <v>Clipboard</v>
      </c>
      <c r="G27" s="2">
        <v>10</v>
      </c>
      <c r="H27" s="2">
        <v>90</v>
      </c>
      <c r="I27" s="2">
        <v>900</v>
      </c>
      <c r="K27" s="10" t="s">
        <v>93</v>
      </c>
      <c r="L27" s="6">
        <f>VLOOKUP(K27,Sales_Data[[Product]:[Unit Price]],2,FALSE)</f>
        <v>3</v>
      </c>
      <c r="M27" s="6">
        <f>VLOOKUP(K27,Sales_Data[[Product]:[Unit Price]],3,FALSE)</f>
        <v>2800</v>
      </c>
    </row>
    <row r="28" spans="1:13" x14ac:dyDescent="0.3">
      <c r="A28" t="s">
        <v>97</v>
      </c>
      <c r="B28" s="1">
        <v>46279</v>
      </c>
      <c r="C28" s="5" t="str">
        <f>PROPER(TRIM(Sales_Data[[#This Row],[Region]]))</f>
        <v>East</v>
      </c>
      <c r="D28" s="5" t="str">
        <f>PROPER(TRIM(Sales_Data[[#This Row],[Sales Rep]]))</f>
        <v>Rajesh Kumar</v>
      </c>
      <c r="E28" s="5" t="s">
        <v>13</v>
      </c>
      <c r="F28" s="5" t="str">
        <f>PROPER(TRIM(Sales_Data[[#This Row],[Product]]))</f>
        <v>Visitor Table</v>
      </c>
      <c r="G28" s="2">
        <v>3</v>
      </c>
      <c r="H28" s="2">
        <v>3200</v>
      </c>
      <c r="I28" s="2">
        <v>9600</v>
      </c>
      <c r="K28" s="11" t="s">
        <v>96</v>
      </c>
      <c r="L28" s="6">
        <f>VLOOKUP(K28,Sales_Data[[Product]:[Unit Price]],2,FALSE)</f>
        <v>10</v>
      </c>
      <c r="M28" s="6">
        <f>VLOOKUP(K28,Sales_Data[[Product]:[Unit Price]],3,FALSE)</f>
        <v>90</v>
      </c>
    </row>
    <row r="29" spans="1:13" x14ac:dyDescent="0.3">
      <c r="A29" t="s">
        <v>100</v>
      </c>
      <c r="B29" s="1">
        <v>46279</v>
      </c>
      <c r="C29" s="5" t="str">
        <f>PROPER(TRIM(Sales_Data[[#This Row],[Region]]))</f>
        <v>West</v>
      </c>
      <c r="D29" s="5" t="str">
        <f>PROPER(TRIM(Sales_Data[[#This Row],[Sales Rep]]))</f>
        <v>Sneha Rao</v>
      </c>
      <c r="E29" s="5" t="s">
        <v>10</v>
      </c>
      <c r="F29" s="5" t="str">
        <f>PROPER(TRIM(Sales_Data[[#This Row],[Product]]))</f>
        <v>External Hard Drive</v>
      </c>
      <c r="G29" s="2">
        <v>2</v>
      </c>
      <c r="H29" s="2">
        <v>6500</v>
      </c>
      <c r="I29" s="2">
        <v>13000</v>
      </c>
      <c r="K29" s="10" t="s">
        <v>99</v>
      </c>
      <c r="L29" s="6">
        <f>VLOOKUP(K29,Sales_Data[[Product]:[Unit Price]],2,FALSE)</f>
        <v>3</v>
      </c>
      <c r="M29" s="6">
        <f>VLOOKUP(K29,Sales_Data[[Product]:[Unit Price]],3,FALSE)</f>
        <v>3200</v>
      </c>
    </row>
    <row r="30" spans="1:13" x14ac:dyDescent="0.3">
      <c r="A30" t="s">
        <v>102</v>
      </c>
      <c r="B30" s="1">
        <v>46280</v>
      </c>
      <c r="C30" s="5" t="str">
        <f>PROPER(TRIM(Sales_Data[[#This Row],[Region]]))</f>
        <v>South</v>
      </c>
      <c r="D30" s="5" t="str">
        <f>PROPER(TRIM(Sales_Data[[#This Row],[Sales Rep]]))</f>
        <v>Anjali Singh</v>
      </c>
      <c r="E30" s="5" t="s">
        <v>21</v>
      </c>
      <c r="F30" s="5" t="str">
        <f>PROPER(TRIM(Sales_Data[[#This Row],[Product]]))</f>
        <v>Ink Cartridge</v>
      </c>
      <c r="G30" s="2">
        <v>5</v>
      </c>
      <c r="H30" s="2">
        <v>1450</v>
      </c>
      <c r="I30" s="2">
        <v>7250</v>
      </c>
      <c r="K30" s="11" t="s">
        <v>101</v>
      </c>
      <c r="L30" s="6">
        <f>VLOOKUP(K30,Sales_Data[[Product]:[Unit Price]],2,FALSE)</f>
        <v>2</v>
      </c>
      <c r="M30" s="6">
        <f>VLOOKUP(K30,Sales_Data[[Product]:[Unit Price]],3,FALSE)</f>
        <v>6500</v>
      </c>
    </row>
    <row r="31" spans="1:13" x14ac:dyDescent="0.3">
      <c r="A31" t="s">
        <v>104</v>
      </c>
      <c r="B31" s="1">
        <v>46280</v>
      </c>
      <c r="C31" s="5" t="str">
        <f>PROPER(TRIM(Sales_Data[[#This Row],[Region]]))</f>
        <v>North</v>
      </c>
      <c r="D31" s="5" t="str">
        <f>PROPER(TRIM(Sales_Data[[#This Row],[Sales Rep]]))</f>
        <v>Vikram Das</v>
      </c>
      <c r="E31" s="5" t="s">
        <v>13</v>
      </c>
      <c r="F31" s="5" t="str">
        <f>PROPER(TRIM(Sales_Data[[#This Row],[Product]]))</f>
        <v>Reception Desk</v>
      </c>
      <c r="G31" s="2">
        <v>1</v>
      </c>
      <c r="H31" s="2">
        <v>18500</v>
      </c>
      <c r="I31" s="2">
        <v>18500</v>
      </c>
      <c r="K31" s="10" t="s">
        <v>103</v>
      </c>
      <c r="L31" s="6">
        <f>VLOOKUP(K31,Sales_Data[[Product]:[Unit Price]],2,FALSE)</f>
        <v>5</v>
      </c>
      <c r="M31" s="6">
        <f>VLOOKUP(K31,Sales_Data[[Product]:[Unit Price]],3,FALSE)</f>
        <v>1450</v>
      </c>
    </row>
    <row r="32" spans="1:13" x14ac:dyDescent="0.3">
      <c r="A32" t="s">
        <v>106</v>
      </c>
      <c r="B32" s="1">
        <v>46281</v>
      </c>
      <c r="C32" s="5" t="str">
        <f>PROPER(TRIM(Sales_Data[[#This Row],[Region]]))</f>
        <v>East</v>
      </c>
      <c r="D32" s="5" t="str">
        <f>PROPER(TRIM(Sales_Data[[#This Row],[Sales Rep]]))</f>
        <v>Pooja Nair</v>
      </c>
      <c r="E32" s="5" t="s">
        <v>10</v>
      </c>
      <c r="F32" s="5" t="str">
        <f>PROPER(TRIM(Sales_Data[[#This Row],[Product]]))</f>
        <v>Flash Drive</v>
      </c>
      <c r="G32" s="2">
        <v>10</v>
      </c>
      <c r="H32" s="2">
        <v>700</v>
      </c>
      <c r="I32" s="2">
        <v>7000</v>
      </c>
      <c r="K32" s="11" t="s">
        <v>105</v>
      </c>
      <c r="L32" s="6">
        <f>VLOOKUP(K32,Sales_Data[[Product]:[Unit Price]],2,FALSE)</f>
        <v>1</v>
      </c>
      <c r="M32" s="6">
        <f>VLOOKUP(K32,Sales_Data[[Product]:[Unit Price]],3,FALSE)</f>
        <v>18500</v>
      </c>
    </row>
    <row r="33" spans="1:13" x14ac:dyDescent="0.3">
      <c r="A33" t="s">
        <v>109</v>
      </c>
      <c r="B33" s="1">
        <v>46281</v>
      </c>
      <c r="C33" s="5" t="str">
        <f>PROPER(TRIM(Sales_Data[[#This Row],[Region]]))</f>
        <v>West</v>
      </c>
      <c r="D33" s="5" t="str">
        <f>PROPER(TRIM(Sales_Data[[#This Row],[Sales Rep]]))</f>
        <v>Ramesh Kumar</v>
      </c>
      <c r="E33" s="5" t="s">
        <v>21</v>
      </c>
      <c r="F33" s="5" t="str">
        <f>PROPER(TRIM(Sales_Data[[#This Row],[Product]]))</f>
        <v>Sticky Notes</v>
      </c>
      <c r="G33" s="2">
        <v>25</v>
      </c>
      <c r="H33" s="2">
        <v>50</v>
      </c>
      <c r="I33" s="2">
        <v>1250</v>
      </c>
      <c r="K33" s="10" t="s">
        <v>108</v>
      </c>
      <c r="L33" s="6">
        <f>VLOOKUP(K33,Sales_Data[[Product]:[Unit Price]],2,FALSE)</f>
        <v>10</v>
      </c>
      <c r="M33" s="6">
        <f>VLOOKUP(K33,Sales_Data[[Product]:[Unit Price]],3,FALSE)</f>
        <v>700</v>
      </c>
    </row>
    <row r="34" spans="1:13" x14ac:dyDescent="0.3">
      <c r="A34" t="s">
        <v>111</v>
      </c>
      <c r="B34" s="1">
        <v>46282</v>
      </c>
      <c r="C34" s="5" t="str">
        <f>PROPER(TRIM(Sales_Data[[#This Row],[Region]]))</f>
        <v>South</v>
      </c>
      <c r="D34" s="5" t="str">
        <f>PROPER(TRIM(Sales_Data[[#This Row],[Sales Rep]]))</f>
        <v>Mahesh Reddy</v>
      </c>
      <c r="E34" s="5" t="s">
        <v>13</v>
      </c>
      <c r="F34" s="5" t="str">
        <f>PROPER(TRIM(Sales_Data[[#This Row],[Product]]))</f>
        <v>Metal Rack</v>
      </c>
      <c r="G34" s="2">
        <v>3</v>
      </c>
      <c r="H34" s="2">
        <v>4800</v>
      </c>
      <c r="I34" s="2">
        <v>14400</v>
      </c>
      <c r="K34" s="11" t="s">
        <v>110</v>
      </c>
      <c r="L34" s="6">
        <f>VLOOKUP(K34,Sales_Data[[Product]:[Unit Price]],2,FALSE)</f>
        <v>25</v>
      </c>
      <c r="M34" s="6">
        <f>VLOOKUP(K34,Sales_Data[[Product]:[Unit Price]],3,FALSE)</f>
        <v>50</v>
      </c>
    </row>
    <row r="35" spans="1:13" x14ac:dyDescent="0.3">
      <c r="A35" t="s">
        <v>113</v>
      </c>
      <c r="B35" s="1">
        <v>46282</v>
      </c>
      <c r="C35" s="5" t="str">
        <f>PROPER(TRIM(Sales_Data[[#This Row],[Region]]))</f>
        <v>North</v>
      </c>
      <c r="D35" s="5" t="str">
        <f>PROPER(TRIM(Sales_Data[[#This Row],[Sales Rep]]))</f>
        <v>Divya Patel</v>
      </c>
      <c r="E35" s="5" t="s">
        <v>10</v>
      </c>
      <c r="F35" s="5" t="str">
        <f>PROPER(TRIM(Sales_Data[[#This Row],[Product]]))</f>
        <v>Tablet</v>
      </c>
      <c r="G35" s="2">
        <v>2</v>
      </c>
      <c r="H35" s="2">
        <v>18500</v>
      </c>
      <c r="I35" s="2">
        <v>37000</v>
      </c>
      <c r="K35" s="10" t="s">
        <v>112</v>
      </c>
      <c r="L35" s="6">
        <f>VLOOKUP(K35,Sales_Data[[Product]:[Unit Price]],2,FALSE)</f>
        <v>3</v>
      </c>
      <c r="M35" s="6">
        <f>VLOOKUP(K35,Sales_Data[[Product]:[Unit Price]],3,FALSE)</f>
        <v>4800</v>
      </c>
    </row>
    <row r="36" spans="1:13" x14ac:dyDescent="0.3">
      <c r="A36" t="s">
        <v>115</v>
      </c>
      <c r="B36" s="1">
        <v>46283</v>
      </c>
      <c r="C36" s="5" t="str">
        <f>PROPER(TRIM(Sales_Data[[#This Row],[Region]]))</f>
        <v>East</v>
      </c>
      <c r="D36" s="5" t="str">
        <f>PROPER(TRIM(Sales_Data[[#This Row],[Sales Rep]]))</f>
        <v>Karan Shah</v>
      </c>
      <c r="E36" s="5" t="s">
        <v>21</v>
      </c>
      <c r="F36" s="5" t="str">
        <f>PROPER(TRIM(Sales_Data[[#This Row],[Product]]))</f>
        <v>Envelope Pack</v>
      </c>
      <c r="G36" s="2">
        <v>15</v>
      </c>
      <c r="H36" s="2">
        <v>110</v>
      </c>
      <c r="I36" s="2">
        <v>1650</v>
      </c>
      <c r="K36" s="11" t="s">
        <v>114</v>
      </c>
      <c r="L36" s="6">
        <f>VLOOKUP(K36,Sales_Data[[Product]:[Unit Price]],2,FALSE)</f>
        <v>2</v>
      </c>
      <c r="M36" s="6">
        <f>VLOOKUP(K36,Sales_Data[[Product]:[Unit Price]],3,FALSE)</f>
        <v>18500</v>
      </c>
    </row>
    <row r="37" spans="1:13" x14ac:dyDescent="0.3">
      <c r="A37" t="s">
        <v>118</v>
      </c>
      <c r="B37" s="1">
        <v>46283</v>
      </c>
      <c r="C37" s="5" t="str">
        <f>PROPER(TRIM(Sales_Data[[#This Row],[Region]]))</f>
        <v>West</v>
      </c>
      <c r="D37" s="5" t="str">
        <f>PROPER(TRIM(Sales_Data[[#This Row],[Sales Rep]]))</f>
        <v>Swathi Rao</v>
      </c>
      <c r="E37" s="5" t="s">
        <v>13</v>
      </c>
      <c r="F37" s="5" t="str">
        <f>PROPER(TRIM(Sales_Data[[#This Row],[Product]]))</f>
        <v>Coffee Table</v>
      </c>
      <c r="G37" s="2">
        <v>2</v>
      </c>
      <c r="H37" s="2">
        <v>4200</v>
      </c>
      <c r="I37" s="2">
        <v>8400</v>
      </c>
      <c r="K37" s="10" t="s">
        <v>117</v>
      </c>
      <c r="L37" s="6">
        <f>VLOOKUP(K37,Sales_Data[[Product]:[Unit Price]],2,FALSE)</f>
        <v>15</v>
      </c>
      <c r="M37" s="6">
        <f>VLOOKUP(K37,Sales_Data[[Product]:[Unit Price]],3,FALSE)</f>
        <v>110</v>
      </c>
    </row>
    <row r="38" spans="1:13" x14ac:dyDescent="0.3">
      <c r="A38" t="s">
        <v>120</v>
      </c>
      <c r="B38" s="1">
        <v>46284</v>
      </c>
      <c r="C38" s="5" t="str">
        <f>PROPER(TRIM(Sales_Data[[#This Row],[Region]]))</f>
        <v>South</v>
      </c>
      <c r="D38" s="5" t="str">
        <f>PROPER(TRIM(Sales_Data[[#This Row],[Sales Rep]]))</f>
        <v>Suresh Kumar</v>
      </c>
      <c r="E38" s="5" t="s">
        <v>10</v>
      </c>
      <c r="F38" s="5" t="str">
        <f>PROPER(TRIM(Sales_Data[[#This Row],[Product]]))</f>
        <v>Bluetooth Speaker</v>
      </c>
      <c r="G38" s="2">
        <v>4</v>
      </c>
      <c r="H38" s="2">
        <v>2100</v>
      </c>
      <c r="I38" s="2">
        <v>8400</v>
      </c>
      <c r="K38" s="11" t="s">
        <v>119</v>
      </c>
      <c r="L38" s="6">
        <f>VLOOKUP(K38,Sales_Data[[Product]:[Unit Price]],2,FALSE)</f>
        <v>2</v>
      </c>
      <c r="M38" s="6">
        <f>VLOOKUP(K38,Sales_Data[[Product]:[Unit Price]],3,FALSE)</f>
        <v>4200</v>
      </c>
    </row>
    <row r="39" spans="1:13" x14ac:dyDescent="0.3">
      <c r="A39" t="s">
        <v>123</v>
      </c>
      <c r="B39" s="1">
        <v>46284</v>
      </c>
      <c r="C39" s="5" t="str">
        <f>PROPER(TRIM(Sales_Data[[#This Row],[Region]]))</f>
        <v>North</v>
      </c>
      <c r="D39" s="5" t="str">
        <f>PROPER(TRIM(Sales_Data[[#This Row],[Sales Rep]]))</f>
        <v>Meena Devi</v>
      </c>
      <c r="E39" s="5" t="s">
        <v>21</v>
      </c>
      <c r="F39" s="5" t="str">
        <f>PROPER(TRIM(Sales_Data[[#This Row],[Product]]))</f>
        <v>Desk Organizer</v>
      </c>
      <c r="G39" s="2">
        <v>8</v>
      </c>
      <c r="H39" s="2">
        <v>350</v>
      </c>
      <c r="I39" s="2">
        <v>2800</v>
      </c>
      <c r="K39" s="10" t="s">
        <v>122</v>
      </c>
      <c r="L39" s="6">
        <f>VLOOKUP(K39,Sales_Data[[Product]:[Unit Price]],2,FALSE)</f>
        <v>4</v>
      </c>
      <c r="M39" s="6">
        <f>VLOOKUP(K39,Sales_Data[[Product]:[Unit Price]],3,FALSE)</f>
        <v>2100</v>
      </c>
    </row>
    <row r="40" spans="1:13" x14ac:dyDescent="0.3">
      <c r="A40" t="s">
        <v>125</v>
      </c>
      <c r="B40" s="1">
        <v>46285</v>
      </c>
      <c r="C40" s="5" t="str">
        <f>PROPER(TRIM(Sales_Data[[#This Row],[Region]]))</f>
        <v>East</v>
      </c>
      <c r="D40" s="5" t="str">
        <f>PROPER(TRIM(Sales_Data[[#This Row],[Sales Rep]]))</f>
        <v>Ajay Verma</v>
      </c>
      <c r="E40" s="5" t="s">
        <v>13</v>
      </c>
      <c r="F40" s="5" t="str">
        <f>PROPER(TRIM(Sales_Data[[#This Row],[Product]]))</f>
        <v>Wooden Cabinet</v>
      </c>
      <c r="G40" s="2">
        <v>2</v>
      </c>
      <c r="H40" s="2">
        <v>7200</v>
      </c>
      <c r="I40" s="2">
        <v>14400</v>
      </c>
      <c r="K40" s="11" t="s">
        <v>124</v>
      </c>
      <c r="L40" s="6">
        <f>VLOOKUP(K40,Sales_Data[[Product]:[Unit Price]],2,FALSE)</f>
        <v>8</v>
      </c>
      <c r="M40" s="6">
        <f>VLOOKUP(K40,Sales_Data[[Product]:[Unit Price]],3,FALSE)</f>
        <v>350</v>
      </c>
    </row>
    <row r="41" spans="1:13" x14ac:dyDescent="0.3">
      <c r="A41" t="s">
        <v>127</v>
      </c>
      <c r="B41" s="1">
        <v>46285</v>
      </c>
      <c r="C41" s="5" t="str">
        <f>PROPER(TRIM(Sales_Data[[#This Row],[Region]]))</f>
        <v>West</v>
      </c>
      <c r="D41" s="5" t="str">
        <f>PROPER(TRIM(Sales_Data[[#This Row],[Sales Rep]]))</f>
        <v>Ravi Nair</v>
      </c>
      <c r="E41" s="5" t="s">
        <v>10</v>
      </c>
      <c r="F41" s="5" t="str">
        <f>PROPER(TRIM(Sales_Data[[#This Row],[Product]]))</f>
        <v>Laser Printer</v>
      </c>
      <c r="G41" s="2">
        <v>1</v>
      </c>
      <c r="H41" s="2">
        <v>15500</v>
      </c>
      <c r="I41" s="2">
        <v>15500</v>
      </c>
      <c r="K41" s="10" t="s">
        <v>126</v>
      </c>
      <c r="L41" s="6">
        <f>VLOOKUP(K41,Sales_Data[[Product]:[Unit Price]],2,FALSE)</f>
        <v>2</v>
      </c>
      <c r="M41" s="6">
        <f>VLOOKUP(K41,Sales_Data[[Product]:[Unit Price]],3,FALSE)</f>
        <v>7200</v>
      </c>
    </row>
    <row r="42" spans="1:13" x14ac:dyDescent="0.3">
      <c r="A42" t="s">
        <v>130</v>
      </c>
      <c r="B42" s="1">
        <v>46286</v>
      </c>
      <c r="C42" s="5" t="str">
        <f>PROPER(TRIM(Sales_Data[[#This Row],[Region]]))</f>
        <v>South</v>
      </c>
      <c r="D42" s="5" t="str">
        <f>PROPER(TRIM(Sales_Data[[#This Row],[Sales Rep]]))</f>
        <v>Priya Sharma</v>
      </c>
      <c r="E42" s="5" t="s">
        <v>21</v>
      </c>
      <c r="F42" s="5" t="str">
        <f>PROPER(TRIM(Sales_Data[[#This Row],[Product]]))</f>
        <v>Ledger Book</v>
      </c>
      <c r="G42" s="2">
        <v>10</v>
      </c>
      <c r="H42" s="2">
        <v>180</v>
      </c>
      <c r="I42" s="2">
        <v>1800</v>
      </c>
      <c r="K42" s="11" t="s">
        <v>129</v>
      </c>
      <c r="L42" s="6">
        <f>VLOOKUP(K42,Sales_Data[[Product]:[Unit Price]],2,FALSE)</f>
        <v>1</v>
      </c>
      <c r="M42" s="6">
        <f>VLOOKUP(K42,Sales_Data[[Product]:[Unit Price]],3,FALSE)</f>
        <v>15500</v>
      </c>
    </row>
    <row r="43" spans="1:13" x14ac:dyDescent="0.3">
      <c r="A43" t="s">
        <v>132</v>
      </c>
      <c r="B43" s="1">
        <v>46286</v>
      </c>
      <c r="C43" s="5" t="str">
        <f>PROPER(TRIM(Sales_Data[[#This Row],[Region]]))</f>
        <v>North</v>
      </c>
      <c r="D43" s="5" t="str">
        <f>PROPER(TRIM(Sales_Data[[#This Row],[Sales Rep]]))</f>
        <v>Rahul Singh</v>
      </c>
      <c r="E43" s="5" t="s">
        <v>13</v>
      </c>
      <c r="F43" s="5" t="str">
        <f>PROPER(TRIM(Sales_Data[[#This Row],[Product]]))</f>
        <v>Ergonomic Chair</v>
      </c>
      <c r="G43" s="2">
        <v>3</v>
      </c>
      <c r="H43" s="2">
        <v>7800</v>
      </c>
      <c r="I43" s="2">
        <v>23400</v>
      </c>
      <c r="K43" s="10" t="s">
        <v>131</v>
      </c>
      <c r="L43" s="6">
        <f>VLOOKUP(K43,Sales_Data[[Product]:[Unit Price]],2,FALSE)</f>
        <v>10</v>
      </c>
      <c r="M43" s="6">
        <f>VLOOKUP(K43,Sales_Data[[Product]:[Unit Price]],3,FALSE)</f>
        <v>180</v>
      </c>
    </row>
    <row r="44" spans="1:13" x14ac:dyDescent="0.3">
      <c r="A44" t="s">
        <v>135</v>
      </c>
      <c r="B44" s="1">
        <v>46287</v>
      </c>
      <c r="C44" s="5" t="str">
        <f>PROPER(TRIM(Sales_Data[[#This Row],[Region]]))</f>
        <v>East</v>
      </c>
      <c r="D44" s="5" t="str">
        <f>PROPER(TRIM(Sales_Data[[#This Row],[Sales Rep]]))</f>
        <v>Neha Patel</v>
      </c>
      <c r="E44" s="5" t="s">
        <v>10</v>
      </c>
      <c r="F44" s="5" t="str">
        <f>PROPER(TRIM(Sales_Data[[#This Row],[Product]]))</f>
        <v>Phone Charger</v>
      </c>
      <c r="G44" s="2">
        <v>7</v>
      </c>
      <c r="H44" s="2">
        <v>900</v>
      </c>
      <c r="I44" s="2">
        <v>6300</v>
      </c>
      <c r="K44" s="11" t="s">
        <v>134</v>
      </c>
      <c r="L44" s="6">
        <f>VLOOKUP(K44,Sales_Data[[Product]:[Unit Price]],2,FALSE)</f>
        <v>3</v>
      </c>
      <c r="M44" s="6">
        <f>VLOOKUP(K44,Sales_Data[[Product]:[Unit Price]],3,FALSE)</f>
        <v>7800</v>
      </c>
    </row>
    <row r="45" spans="1:13" x14ac:dyDescent="0.3">
      <c r="A45" t="s">
        <v>137</v>
      </c>
      <c r="B45" s="1">
        <v>46287</v>
      </c>
      <c r="C45" s="5" t="str">
        <f>PROPER(TRIM(Sales_Data[[#This Row],[Region]]))</f>
        <v>West</v>
      </c>
      <c r="D45" s="5" t="str">
        <f>PROPER(TRIM(Sales_Data[[#This Row],[Sales Rep]]))</f>
        <v>Amit Verma</v>
      </c>
      <c r="E45" s="5" t="s">
        <v>21</v>
      </c>
      <c r="F45" s="5" t="str">
        <f>PROPER(TRIM(Sales_Data[[#This Row],[Product]]))</f>
        <v>Scissors</v>
      </c>
      <c r="G45" s="2">
        <v>12</v>
      </c>
      <c r="H45" s="2">
        <v>140</v>
      </c>
      <c r="I45" s="2">
        <v>1680</v>
      </c>
      <c r="K45" s="10" t="s">
        <v>136</v>
      </c>
      <c r="L45" s="6">
        <f>VLOOKUP(K45,Sales_Data[[Product]:[Unit Price]],2,FALSE)</f>
        <v>7</v>
      </c>
      <c r="M45" s="6">
        <f>VLOOKUP(K45,Sales_Data[[Product]:[Unit Price]],3,FALSE)</f>
        <v>900</v>
      </c>
    </row>
    <row r="46" spans="1:13" x14ac:dyDescent="0.3">
      <c r="A46" t="s">
        <v>140</v>
      </c>
      <c r="B46" s="1">
        <v>46288</v>
      </c>
      <c r="C46" s="5" t="str">
        <f>PROPER(TRIM(Sales_Data[[#This Row],[Region]]))</f>
        <v>South</v>
      </c>
      <c r="D46" s="5" t="str">
        <f>PROPER(TRIM(Sales_Data[[#This Row],[Sales Rep]]))</f>
        <v>Kavya Mehta</v>
      </c>
      <c r="E46" s="5" t="s">
        <v>13</v>
      </c>
      <c r="F46" s="5" t="str">
        <f>PROPER(TRIM(Sales_Data[[#This Row],[Product]]))</f>
        <v>Visitor Sofa</v>
      </c>
      <c r="G46" s="2">
        <v>1</v>
      </c>
      <c r="H46" s="2">
        <v>12500</v>
      </c>
      <c r="I46" s="2">
        <v>12500</v>
      </c>
      <c r="K46" s="11" t="s">
        <v>139</v>
      </c>
      <c r="L46" s="6">
        <f>VLOOKUP(K46,Sales_Data[[Product]:[Unit Price]],2,FALSE)</f>
        <v>12</v>
      </c>
      <c r="M46" s="6">
        <f>VLOOKUP(K46,Sales_Data[[Product]:[Unit Price]],3,FALSE)</f>
        <v>140</v>
      </c>
    </row>
    <row r="47" spans="1:13" x14ac:dyDescent="0.3">
      <c r="A47" t="s">
        <v>142</v>
      </c>
      <c r="B47" s="1">
        <v>46288</v>
      </c>
      <c r="C47" s="5" t="str">
        <f>PROPER(TRIM(Sales_Data[[#This Row],[Region]]))</f>
        <v>North</v>
      </c>
      <c r="D47" s="5" t="str">
        <f>PROPER(TRIM(Sales_Data[[#This Row],[Sales Rep]]))</f>
        <v>Arun Reddy</v>
      </c>
      <c r="E47" s="5" t="s">
        <v>10</v>
      </c>
      <c r="F47" s="5" t="str">
        <f>PROPER(TRIM(Sales_Data[[#This Row],[Product]]))</f>
        <v>Desk Lamp</v>
      </c>
      <c r="G47" s="2">
        <v>6</v>
      </c>
      <c r="H47" s="2">
        <v>750</v>
      </c>
      <c r="I47" s="2">
        <v>4500</v>
      </c>
      <c r="K47" s="10" t="s">
        <v>141</v>
      </c>
      <c r="L47" s="6">
        <f>VLOOKUP(K47,Sales_Data[[Product]:[Unit Price]],2,FALSE)</f>
        <v>1</v>
      </c>
      <c r="M47" s="6">
        <f>VLOOKUP(K47,Sales_Data[[Product]:[Unit Price]],3,FALSE)</f>
        <v>12500</v>
      </c>
    </row>
    <row r="48" spans="1:13" x14ac:dyDescent="0.3">
      <c r="A48" t="s">
        <v>144</v>
      </c>
      <c r="B48" s="1">
        <v>46289</v>
      </c>
      <c r="C48" s="5" t="str">
        <f>PROPER(TRIM(Sales_Data[[#This Row],[Region]]))</f>
        <v>East</v>
      </c>
      <c r="D48" s="5" t="str">
        <f>PROPER(TRIM(Sales_Data[[#This Row],[Sales Rep]]))</f>
        <v>Rajesh Kumar</v>
      </c>
      <c r="E48" s="5" t="s">
        <v>21</v>
      </c>
      <c r="F48" s="5" t="str">
        <f>PROPER(TRIM(Sales_Data[[#This Row],[Product]]))</f>
        <v>Marker Set</v>
      </c>
      <c r="G48" s="2">
        <v>10</v>
      </c>
      <c r="H48" s="2">
        <v>220</v>
      </c>
      <c r="I48" s="2">
        <v>2200</v>
      </c>
      <c r="K48" s="11" t="s">
        <v>143</v>
      </c>
      <c r="L48" s="6">
        <f>VLOOKUP(K48,Sales_Data[[Product]:[Unit Price]],2,FALSE)</f>
        <v>6</v>
      </c>
      <c r="M48" s="6">
        <f>VLOOKUP(K48,Sales_Data[[Product]:[Unit Price]],3,FALSE)</f>
        <v>750</v>
      </c>
    </row>
    <row r="49" spans="1:13" x14ac:dyDescent="0.3">
      <c r="A49" t="s">
        <v>146</v>
      </c>
      <c r="B49" s="1">
        <v>46289</v>
      </c>
      <c r="C49" s="5" t="str">
        <f>PROPER(TRIM(Sales_Data[[#This Row],[Region]]))</f>
        <v>West</v>
      </c>
      <c r="D49" s="5" t="str">
        <f>PROPER(TRIM(Sales_Data[[#This Row],[Sales Rep]]))</f>
        <v>Sneha Rao</v>
      </c>
      <c r="E49" s="5" t="s">
        <v>13</v>
      </c>
      <c r="F49" s="5" t="str">
        <f>PROPER(TRIM(Sales_Data[[#This Row],[Product]]))</f>
        <v>Steel Cupboard</v>
      </c>
      <c r="G49" s="2">
        <v>2</v>
      </c>
      <c r="H49" s="2">
        <v>8900</v>
      </c>
      <c r="I49" s="2">
        <v>17800</v>
      </c>
      <c r="K49" s="10" t="s">
        <v>145</v>
      </c>
      <c r="L49" s="6">
        <f>VLOOKUP(K49,Sales_Data[[Product]:[Unit Price]],2,FALSE)</f>
        <v>10</v>
      </c>
      <c r="M49" s="6">
        <f>VLOOKUP(K49,Sales_Data[[Product]:[Unit Price]],3,FALSE)</f>
        <v>220</v>
      </c>
    </row>
    <row r="50" spans="1:13" x14ac:dyDescent="0.3">
      <c r="A50" t="s">
        <v>148</v>
      </c>
      <c r="B50" s="1">
        <v>46290</v>
      </c>
      <c r="C50" s="5" t="str">
        <f>PROPER(TRIM(Sales_Data[[#This Row],[Region]]))</f>
        <v>South</v>
      </c>
      <c r="D50" s="5" t="str">
        <f>PROPER(TRIM(Sales_Data[[#This Row],[Sales Rep]]))</f>
        <v>Anjali Singh</v>
      </c>
      <c r="E50" s="5" t="s">
        <v>10</v>
      </c>
      <c r="F50" s="5" t="str">
        <f>PROPER(TRIM(Sales_Data[[#This Row],[Product]]))</f>
        <v>Smart Watch</v>
      </c>
      <c r="G50" s="2">
        <v>3</v>
      </c>
      <c r="H50" s="2">
        <v>5500</v>
      </c>
      <c r="I50" s="2">
        <v>16500</v>
      </c>
      <c r="K50" s="11" t="s">
        <v>147</v>
      </c>
      <c r="L50" s="6">
        <f>VLOOKUP(K50,Sales_Data[[Product]:[Unit Price]],2,FALSE)</f>
        <v>2</v>
      </c>
      <c r="M50" s="6">
        <f>VLOOKUP(K50,Sales_Data[[Product]:[Unit Price]],3,FALSE)</f>
        <v>8900</v>
      </c>
    </row>
    <row r="51" spans="1:13" x14ac:dyDescent="0.3">
      <c r="A51" t="s">
        <v>150</v>
      </c>
      <c r="B51" s="1">
        <v>46290</v>
      </c>
      <c r="C51" s="5" t="str">
        <f>PROPER(TRIM(Sales_Data[[#This Row],[Region]]))</f>
        <v>North</v>
      </c>
      <c r="D51" s="5" t="str">
        <f>PROPER(TRIM(Sales_Data[[#This Row],[Sales Rep]]))</f>
        <v>Vikram Das</v>
      </c>
      <c r="E51" s="5" t="s">
        <v>21</v>
      </c>
      <c r="F51" s="5" t="str">
        <f>PROPER(TRIM(Sales_Data[[#This Row],[Product]]))</f>
        <v>Printer Paper</v>
      </c>
      <c r="G51" s="2">
        <v>30</v>
      </c>
      <c r="H51" s="2">
        <v>280</v>
      </c>
      <c r="I51" s="2">
        <v>8400</v>
      </c>
      <c r="K51" s="10" t="s">
        <v>149</v>
      </c>
      <c r="L51" s="6">
        <f>VLOOKUP(K51,Sales_Data[[Product]:[Unit Price]],2,FALSE)</f>
        <v>3</v>
      </c>
      <c r="M51" s="6">
        <f>VLOOKUP(K51,Sales_Data[[Product]:[Unit Price]],3,FALSE)</f>
        <v>5500</v>
      </c>
    </row>
    <row r="52" spans="1:13" x14ac:dyDescent="0.3">
      <c r="A52" t="s">
        <v>152</v>
      </c>
      <c r="B52" s="1">
        <v>46291</v>
      </c>
      <c r="C52" s="5" t="str">
        <f>PROPER(TRIM(Sales_Data[[#This Row],[Region]]))</f>
        <v>East</v>
      </c>
      <c r="D52" s="5" t="str">
        <f>PROPER(TRIM(Sales_Data[[#This Row],[Sales Rep]]))</f>
        <v>Pooja Nair</v>
      </c>
      <c r="E52" s="5" t="s">
        <v>13</v>
      </c>
      <c r="F52" s="5" t="str">
        <f>PROPER(TRIM(Sales_Data[[#This Row],[Product]]))</f>
        <v>Office Sofa</v>
      </c>
      <c r="G52" s="2">
        <v>2</v>
      </c>
      <c r="H52" s="2">
        <v>11500</v>
      </c>
      <c r="I52" s="2">
        <v>23000</v>
      </c>
      <c r="K52" s="11" t="s">
        <v>151</v>
      </c>
      <c r="L52" s="6">
        <f>VLOOKUP(K52,Sales_Data[[Product]:[Unit Price]],2,FALSE)</f>
        <v>30</v>
      </c>
      <c r="M52" s="6">
        <f>VLOOKUP(K52,Sales_Data[[Product]:[Unit Price]],3,FALSE)</f>
        <v>280</v>
      </c>
    </row>
    <row r="53" spans="1:13" x14ac:dyDescent="0.3">
      <c r="A53" t="s">
        <v>154</v>
      </c>
      <c r="B53" s="1">
        <v>46291</v>
      </c>
      <c r="C53" s="5" t="str">
        <f>PROPER(TRIM(Sales_Data[[#This Row],[Region]]))</f>
        <v>West</v>
      </c>
      <c r="D53" s="5" t="str">
        <f>PROPER(TRIM(Sales_Data[[#This Row],[Sales Rep]]))</f>
        <v>Ramesh Kumar</v>
      </c>
      <c r="E53" s="5" t="s">
        <v>10</v>
      </c>
      <c r="F53" s="5" t="str">
        <f>PROPER(TRIM(Sales_Data[[#This Row],[Product]]))</f>
        <v>Network Router</v>
      </c>
      <c r="G53" s="2">
        <v>4</v>
      </c>
      <c r="H53" s="2">
        <v>3200</v>
      </c>
      <c r="I53" s="2">
        <v>12800</v>
      </c>
      <c r="K53" s="10" t="s">
        <v>153</v>
      </c>
      <c r="L53" s="6">
        <f>VLOOKUP(K53,Sales_Data[[Product]:[Unit Price]],2,FALSE)</f>
        <v>2</v>
      </c>
      <c r="M53" s="6">
        <f>VLOOKUP(K53,Sales_Data[[Product]:[Unit Price]],3,FALSE)</f>
        <v>11500</v>
      </c>
    </row>
    <row r="54" spans="1:13" x14ac:dyDescent="0.3">
      <c r="A54" t="s">
        <v>156</v>
      </c>
      <c r="B54" s="1">
        <v>46292</v>
      </c>
      <c r="C54" s="5" t="str">
        <f>PROPER(TRIM(Sales_Data[[#This Row],[Region]]))</f>
        <v>South</v>
      </c>
      <c r="D54" s="5" t="str">
        <f>PROPER(TRIM(Sales_Data[[#This Row],[Sales Rep]]))</f>
        <v>Mahesh Reddy</v>
      </c>
      <c r="E54" s="5" t="s">
        <v>21</v>
      </c>
      <c r="F54" s="5" t="str">
        <f>PROPER(TRIM(Sales_Data[[#This Row],[Product]]))</f>
        <v>Binder Clips</v>
      </c>
      <c r="G54" s="2">
        <v>20</v>
      </c>
      <c r="H54" s="2">
        <v>45</v>
      </c>
      <c r="I54" s="2">
        <v>900</v>
      </c>
      <c r="K54" s="11" t="s">
        <v>155</v>
      </c>
      <c r="L54" s="6">
        <f>VLOOKUP(K54,Sales_Data[[Product]:[Unit Price]],2,FALSE)</f>
        <v>4</v>
      </c>
      <c r="M54" s="6">
        <f>VLOOKUP(K54,Sales_Data[[Product]:[Unit Price]],3,FALSE)</f>
        <v>3200</v>
      </c>
    </row>
    <row r="55" spans="1:13" x14ac:dyDescent="0.3">
      <c r="A55" t="s">
        <v>159</v>
      </c>
      <c r="B55" s="1">
        <v>46292</v>
      </c>
      <c r="C55" s="5" t="str">
        <f>PROPER(TRIM(Sales_Data[[#This Row],[Region]]))</f>
        <v>North</v>
      </c>
      <c r="D55" s="5" t="str">
        <f>PROPER(TRIM(Sales_Data[[#This Row],[Sales Rep]]))</f>
        <v>Divya Patel</v>
      </c>
      <c r="E55" s="5" t="s">
        <v>13</v>
      </c>
      <c r="F55" s="5" t="str">
        <f>PROPER(TRIM(Sales_Data[[#This Row],[Product]]))</f>
        <v>Round Table</v>
      </c>
      <c r="G55" s="2">
        <v>2</v>
      </c>
      <c r="H55" s="2">
        <v>5600</v>
      </c>
      <c r="I55" s="2">
        <v>11200</v>
      </c>
      <c r="K55" s="10" t="s">
        <v>158</v>
      </c>
      <c r="L55" s="6">
        <f>VLOOKUP(K55,Sales_Data[[Product]:[Unit Price]],2,FALSE)</f>
        <v>20</v>
      </c>
      <c r="M55" s="6">
        <f>VLOOKUP(K55,Sales_Data[[Product]:[Unit Price]],3,FALSE)</f>
        <v>45</v>
      </c>
    </row>
    <row r="56" spans="1:13" x14ac:dyDescent="0.3">
      <c r="A56" t="s">
        <v>161</v>
      </c>
      <c r="B56" s="1">
        <v>46293</v>
      </c>
      <c r="C56" s="5" t="str">
        <f>PROPER(TRIM(Sales_Data[[#This Row],[Region]]))</f>
        <v>East</v>
      </c>
      <c r="D56" s="5" t="str">
        <f>PROPER(TRIM(Sales_Data[[#This Row],[Sales Rep]]))</f>
        <v>Karan Shah</v>
      </c>
      <c r="E56" s="5" t="s">
        <v>10</v>
      </c>
      <c r="F56" s="5" t="str">
        <f>PROPER(TRIM(Sales_Data[[#This Row],[Product]]))</f>
        <v>Desktop Computer</v>
      </c>
      <c r="G56" s="2">
        <v>1</v>
      </c>
      <c r="H56" s="2">
        <v>42000</v>
      </c>
      <c r="I56" s="2">
        <v>42000</v>
      </c>
      <c r="K56" s="11" t="s">
        <v>160</v>
      </c>
      <c r="L56" s="6">
        <f>VLOOKUP(K56,Sales_Data[[Product]:[Unit Price]],2,FALSE)</f>
        <v>2</v>
      </c>
      <c r="M56" s="6">
        <f>VLOOKUP(K56,Sales_Data[[Product]:[Unit Price]],3,FALSE)</f>
        <v>5600</v>
      </c>
    </row>
    <row r="57" spans="1:13" x14ac:dyDescent="0.3">
      <c r="A57" t="s">
        <v>163</v>
      </c>
      <c r="B57" s="1">
        <v>46293</v>
      </c>
      <c r="C57" s="5" t="str">
        <f>PROPER(TRIM(Sales_Data[[#This Row],[Region]]))</f>
        <v>West</v>
      </c>
      <c r="D57" s="5" t="str">
        <f>PROPER(TRIM(Sales_Data[[#This Row],[Sales Rep]]))</f>
        <v>Swathi Rao</v>
      </c>
      <c r="E57" s="5" t="s">
        <v>21</v>
      </c>
      <c r="F57" s="5" t="str">
        <f>PROPER(TRIM(Sales_Data[[#This Row],[Product]]))</f>
        <v>Notepad</v>
      </c>
      <c r="G57" s="2">
        <v>15</v>
      </c>
      <c r="H57" s="2">
        <v>90</v>
      </c>
      <c r="I57" s="2">
        <v>1350</v>
      </c>
      <c r="K57" s="10" t="s">
        <v>162</v>
      </c>
      <c r="L57" s="6">
        <f>VLOOKUP(K57,Sales_Data[[Product]:[Unit Price]],2,FALSE)</f>
        <v>1</v>
      </c>
      <c r="M57" s="6">
        <f>VLOOKUP(K57,Sales_Data[[Product]:[Unit Price]],3,FALSE)</f>
        <v>42000</v>
      </c>
    </row>
    <row r="58" spans="1:13" x14ac:dyDescent="0.3">
      <c r="A58" t="s">
        <v>165</v>
      </c>
      <c r="B58" s="1">
        <v>46294</v>
      </c>
      <c r="C58" s="5" t="str">
        <f>PROPER(TRIM(Sales_Data[[#This Row],[Region]]))</f>
        <v>South</v>
      </c>
      <c r="D58" s="5" t="str">
        <f>PROPER(TRIM(Sales_Data[[#This Row],[Sales Rep]]))</f>
        <v>Suresh Kumar</v>
      </c>
      <c r="E58" s="5" t="s">
        <v>13</v>
      </c>
      <c r="F58" s="5" t="str">
        <f>PROPER(TRIM(Sales_Data[[#This Row],[Product]]))</f>
        <v>Revolving Chair</v>
      </c>
      <c r="G58" s="2">
        <v>4</v>
      </c>
      <c r="H58" s="2">
        <v>3900</v>
      </c>
      <c r="I58" s="2">
        <v>15600</v>
      </c>
      <c r="K58" s="11" t="s">
        <v>164</v>
      </c>
      <c r="L58" s="6">
        <f>VLOOKUP(K58,Sales_Data[[Product]:[Unit Price]],2,FALSE)</f>
        <v>15</v>
      </c>
      <c r="M58" s="6">
        <f>VLOOKUP(K58,Sales_Data[[Product]:[Unit Price]],3,FALSE)</f>
        <v>90</v>
      </c>
    </row>
    <row r="59" spans="1:13" x14ac:dyDescent="0.3">
      <c r="A59" t="s">
        <v>167</v>
      </c>
      <c r="B59" s="1">
        <v>46294</v>
      </c>
      <c r="C59" s="5" t="str">
        <f>PROPER(TRIM(Sales_Data[[#This Row],[Region]]))</f>
        <v>North</v>
      </c>
      <c r="D59" s="5" t="str">
        <f>PROPER(TRIM(Sales_Data[[#This Row],[Sales Rep]]))</f>
        <v>Meena Devi</v>
      </c>
      <c r="E59" s="5" t="s">
        <v>10</v>
      </c>
      <c r="F59" s="5" t="str">
        <f>PROPER(TRIM(Sales_Data[[#This Row],[Product]]))</f>
        <v>Power Bank</v>
      </c>
      <c r="G59" s="2">
        <v>5</v>
      </c>
      <c r="H59" s="2">
        <v>1600</v>
      </c>
      <c r="I59" s="2">
        <v>8000</v>
      </c>
      <c r="K59" s="10" t="s">
        <v>166</v>
      </c>
      <c r="L59" s="6">
        <f>VLOOKUP(K59,Sales_Data[[Product]:[Unit Price]],2,FALSE)</f>
        <v>4</v>
      </c>
      <c r="M59" s="6">
        <f>VLOOKUP(K59,Sales_Data[[Product]:[Unit Price]],3,FALSE)</f>
        <v>3900</v>
      </c>
    </row>
    <row r="60" spans="1:13" x14ac:dyDescent="0.3">
      <c r="A60" t="s">
        <v>169</v>
      </c>
      <c r="B60" s="1">
        <v>46295</v>
      </c>
      <c r="C60" s="5" t="str">
        <f>PROPER(TRIM(Sales_Data[[#This Row],[Region]]))</f>
        <v>East</v>
      </c>
      <c r="D60" s="5" t="str">
        <f>PROPER(TRIM(Sales_Data[[#This Row],[Sales Rep]]))</f>
        <v>Ajay Verma</v>
      </c>
      <c r="E60" s="5" t="s">
        <v>21</v>
      </c>
      <c r="F60" s="5" t="str">
        <f>PROPER(TRIM(Sales_Data[[#This Row],[Product]]))</f>
        <v>Paper Clips</v>
      </c>
      <c r="G60" s="2">
        <v>30</v>
      </c>
      <c r="H60" s="2">
        <v>35</v>
      </c>
      <c r="I60" s="2">
        <v>1050</v>
      </c>
      <c r="K60" s="11" t="s">
        <v>168</v>
      </c>
      <c r="L60" s="6">
        <f>VLOOKUP(K60,Sales_Data[[Product]:[Unit Price]],2,FALSE)</f>
        <v>5</v>
      </c>
      <c r="M60" s="6">
        <f>VLOOKUP(K60,Sales_Data[[Product]:[Unit Price]],3,FALSE)</f>
        <v>1600</v>
      </c>
    </row>
    <row r="61" spans="1:13" x14ac:dyDescent="0.3">
      <c r="A61" t="s">
        <v>171</v>
      </c>
      <c r="B61" s="1">
        <v>46295</v>
      </c>
      <c r="C61" s="5" t="str">
        <f>PROPER(TRIM(Sales_Data[[#This Row],[Region]]))</f>
        <v>West</v>
      </c>
      <c r="D61" s="5" t="str">
        <f>PROPER(TRIM(Sales_Data[[#This Row],[Sales Rep]]))</f>
        <v>Ravi Nair</v>
      </c>
      <c r="E61" s="5" t="s">
        <v>13</v>
      </c>
      <c r="F61" s="5" t="str">
        <f>PROPER(TRIM(Sales_Data[[#This Row],[Product]]))</f>
        <v>Wooden Desk</v>
      </c>
      <c r="G61" s="2">
        <v>1</v>
      </c>
      <c r="H61" s="2">
        <v>9800</v>
      </c>
      <c r="I61" s="2">
        <v>9800</v>
      </c>
      <c r="K61" s="10" t="s">
        <v>170</v>
      </c>
      <c r="L61" s="6">
        <f>VLOOKUP(K61,Sales_Data[[Product]:[Unit Price]],2,FALSE)</f>
        <v>30</v>
      </c>
      <c r="M61" s="6">
        <f>VLOOKUP(K61,Sales_Data[[Product]:[Unit Price]],3,FALSE)</f>
        <v>35</v>
      </c>
    </row>
    <row r="62" spans="1:13" x14ac:dyDescent="0.3">
      <c r="A62" t="s">
        <v>173</v>
      </c>
      <c r="B62" s="1">
        <v>46296</v>
      </c>
      <c r="C62" s="5" t="str">
        <f>PROPER(TRIM(Sales_Data[[#This Row],[Region]]))</f>
        <v>South</v>
      </c>
      <c r="D62" s="5" t="str">
        <f>PROPER(TRIM(Sales_Data[[#This Row],[Sales Rep]]))</f>
        <v>Priya Sharma</v>
      </c>
      <c r="E62" s="5" t="s">
        <v>10</v>
      </c>
      <c r="F62" s="5" t="str">
        <f>PROPER(TRIM(Sales_Data[[#This Row],[Product]]))</f>
        <v>Keyboard</v>
      </c>
      <c r="G62" s="2">
        <v>6</v>
      </c>
      <c r="H62" s="2">
        <v>850</v>
      </c>
      <c r="I62" s="2">
        <v>5100</v>
      </c>
      <c r="K62" s="11" t="s">
        <v>172</v>
      </c>
      <c r="L62" s="6">
        <f>VLOOKUP(K62,Sales_Data[[Product]:[Unit Price]],2,FALSE)</f>
        <v>1</v>
      </c>
      <c r="M62" s="6">
        <f>VLOOKUP(K62,Sales_Data[[Product]:[Unit Price]],3,FALSE)</f>
        <v>9800</v>
      </c>
    </row>
    <row r="63" spans="1:13" x14ac:dyDescent="0.3">
      <c r="A63" t="s">
        <v>174</v>
      </c>
      <c r="B63" s="1">
        <v>46296</v>
      </c>
      <c r="C63" s="5" t="str">
        <f>PROPER(TRIM(Sales_Data[[#This Row],[Region]]))</f>
        <v>North</v>
      </c>
      <c r="D63" s="5" t="str">
        <f>PROPER(TRIM(Sales_Data[[#This Row],[Sales Rep]]))</f>
        <v>Rahul Singh</v>
      </c>
      <c r="E63" s="5" t="s">
        <v>21</v>
      </c>
      <c r="F63" s="5" t="str">
        <f>PROPER(TRIM(Sales_Data[[#This Row],[Product]]))</f>
        <v>Notebook</v>
      </c>
      <c r="G63" s="2">
        <v>20</v>
      </c>
      <c r="H63" s="2">
        <v>120</v>
      </c>
      <c r="I63" s="2">
        <v>2400</v>
      </c>
      <c r="K63" s="10" t="s">
        <v>30</v>
      </c>
      <c r="L63" s="6">
        <f>VLOOKUP(K63,Sales_Data[[Product]:[Unit Price]],2,FALSE)</f>
        <v>5</v>
      </c>
      <c r="M63" s="6">
        <f>VLOOKUP(K63,Sales_Data[[Product]:[Unit Price]],3,FALSE)</f>
        <v>850</v>
      </c>
    </row>
    <row r="64" spans="1:13" x14ac:dyDescent="0.3">
      <c r="A64" t="s">
        <v>175</v>
      </c>
      <c r="B64" s="1">
        <v>46297</v>
      </c>
      <c r="C64" s="5" t="str">
        <f>PROPER(TRIM(Sales_Data[[#This Row],[Region]]))</f>
        <v>East</v>
      </c>
      <c r="D64" s="5" t="str">
        <f>PROPER(TRIM(Sales_Data[[#This Row],[Sales Rep]]))</f>
        <v>Neha Patel</v>
      </c>
      <c r="E64" s="5" t="s">
        <v>13</v>
      </c>
      <c r="F64" s="5" t="str">
        <f>PROPER(TRIM(Sales_Data[[#This Row],[Product]]))</f>
        <v>Office Chair</v>
      </c>
      <c r="G64" s="2">
        <v>3</v>
      </c>
      <c r="H64" s="2">
        <v>4500</v>
      </c>
      <c r="I64" s="2">
        <v>13500</v>
      </c>
      <c r="K64" s="11" t="s">
        <v>22</v>
      </c>
      <c r="L64" s="6">
        <f>VLOOKUP(K64,Sales_Data[[Product]:[Unit Price]],2,FALSE)</f>
        <v>10</v>
      </c>
      <c r="M64" s="6">
        <f>VLOOKUP(K64,Sales_Data[[Product]:[Unit Price]],3,FALSE)</f>
        <v>120</v>
      </c>
    </row>
    <row r="65" spans="1:13" x14ac:dyDescent="0.3">
      <c r="A65" t="s">
        <v>176</v>
      </c>
      <c r="B65" s="1">
        <v>46297</v>
      </c>
      <c r="C65" s="5" t="str">
        <f>PROPER(TRIM(Sales_Data[[#This Row],[Region]]))</f>
        <v>West</v>
      </c>
      <c r="D65" s="5" t="str">
        <f>PROPER(TRIM(Sales_Data[[#This Row],[Sales Rep]]))</f>
        <v>Amit Verma</v>
      </c>
      <c r="E65" s="5" t="s">
        <v>10</v>
      </c>
      <c r="F65" s="5" t="str">
        <f>PROPER(TRIM(Sales_Data[[#This Row],[Product]]))</f>
        <v>Wireless Mouse</v>
      </c>
      <c r="G65" s="2">
        <v>8</v>
      </c>
      <c r="H65" s="2">
        <v>650</v>
      </c>
      <c r="I65" s="2">
        <v>5200</v>
      </c>
      <c r="K65" s="10" t="s">
        <v>26</v>
      </c>
      <c r="L65" s="6">
        <f>VLOOKUP(K65,Sales_Data[[Product]:[Unit Price]],2,FALSE)</f>
        <v>2</v>
      </c>
      <c r="M65" s="6">
        <f>VLOOKUP(K65,Sales_Data[[Product]:[Unit Price]],3,FALSE)</f>
        <v>4500</v>
      </c>
    </row>
    <row r="66" spans="1:13" x14ac:dyDescent="0.3">
      <c r="A66" t="s">
        <v>177</v>
      </c>
      <c r="B66" s="1">
        <v>46298</v>
      </c>
      <c r="C66" s="5" t="str">
        <f>PROPER(TRIM(Sales_Data[[#This Row],[Region]]))</f>
        <v>South</v>
      </c>
      <c r="D66" s="5" t="str">
        <f>PROPER(TRIM(Sales_Data[[#This Row],[Sales Rep]]))</f>
        <v>Kavya Mehta</v>
      </c>
      <c r="E66" s="5" t="s">
        <v>21</v>
      </c>
      <c r="F66" s="5" t="str">
        <f>PROPER(TRIM(Sales_Data[[#This Row],[Product]]))</f>
        <v>Pen Set</v>
      </c>
      <c r="G66" s="2">
        <v>25</v>
      </c>
      <c r="H66" s="2">
        <v>80</v>
      </c>
      <c r="I66" s="2">
        <v>2000</v>
      </c>
      <c r="K66" s="11" t="s">
        <v>18</v>
      </c>
      <c r="L66" s="6">
        <f>VLOOKUP(K66,Sales_Data[[Product]:[Unit Price]],2,FALSE)</f>
        <v>4</v>
      </c>
      <c r="M66" s="6">
        <f>VLOOKUP(K66,Sales_Data[[Product]:[Unit Price]],3,FALSE)</f>
        <v>650</v>
      </c>
    </row>
    <row r="67" spans="1:13" x14ac:dyDescent="0.3">
      <c r="A67" t="s">
        <v>178</v>
      </c>
      <c r="B67" s="1">
        <v>46298</v>
      </c>
      <c r="C67" s="5" t="str">
        <f>PROPER(TRIM(Sales_Data[[#This Row],[Region]]))</f>
        <v>North</v>
      </c>
      <c r="D67" s="5" t="str">
        <f>PROPER(TRIM(Sales_Data[[#This Row],[Sales Rep]]))</f>
        <v>Arun Reddy</v>
      </c>
      <c r="E67" s="5" t="s">
        <v>13</v>
      </c>
      <c r="F67" s="5" t="str">
        <f>PROPER(TRIM(Sales_Data[[#This Row],[Product]]))</f>
        <v>Office Table</v>
      </c>
      <c r="G67" s="2">
        <v>2</v>
      </c>
      <c r="H67" s="2">
        <v>7500</v>
      </c>
      <c r="I67" s="2">
        <v>15000</v>
      </c>
      <c r="K67" s="10" t="s">
        <v>33</v>
      </c>
      <c r="L67" s="6">
        <f>VLOOKUP(K67,Sales_Data[[Product]:[Unit Price]],2,FALSE)</f>
        <v>15</v>
      </c>
      <c r="M67" s="6">
        <f>VLOOKUP(K67,Sales_Data[[Product]:[Unit Price]],3,FALSE)</f>
        <v>80</v>
      </c>
    </row>
    <row r="68" spans="1:13" x14ac:dyDescent="0.3">
      <c r="A68" t="s">
        <v>179</v>
      </c>
      <c r="B68" s="1">
        <v>46299</v>
      </c>
      <c r="C68" s="5" t="str">
        <f>PROPER(TRIM(Sales_Data[[#This Row],[Region]]))</f>
        <v>East</v>
      </c>
      <c r="D68" s="5" t="str">
        <f>PROPER(TRIM(Sales_Data[[#This Row],[Sales Rep]]))</f>
        <v>Rajesh Kumar</v>
      </c>
      <c r="E68" s="5" t="s">
        <v>10</v>
      </c>
      <c r="F68" s="5" t="str">
        <f>PROPER(TRIM(Sales_Data[[#This Row],[Product]]))</f>
        <v>Monitor</v>
      </c>
      <c r="G68" s="2">
        <v>2</v>
      </c>
      <c r="H68" s="2">
        <v>12500</v>
      </c>
      <c r="I68" s="2">
        <v>25000</v>
      </c>
      <c r="K68" s="11" t="s">
        <v>37</v>
      </c>
      <c r="L68" s="6">
        <f>VLOOKUP(K68,Sales_Data[[Product]:[Unit Price]],2,FALSE)</f>
        <v>1</v>
      </c>
      <c r="M68" s="6">
        <f>VLOOKUP(K68,Sales_Data[[Product]:[Unit Price]],3,FALSE)</f>
        <v>7500</v>
      </c>
    </row>
    <row r="69" spans="1:13" x14ac:dyDescent="0.3">
      <c r="A69" t="s">
        <v>180</v>
      </c>
      <c r="B69" s="1">
        <v>46299</v>
      </c>
      <c r="C69" s="5" t="str">
        <f>PROPER(TRIM(Sales_Data[[#This Row],[Region]]))</f>
        <v>West</v>
      </c>
      <c r="D69" s="5" t="str">
        <f>PROPER(TRIM(Sales_Data[[#This Row],[Sales Rep]]))</f>
        <v>Sneha Rao</v>
      </c>
      <c r="E69" s="5" t="s">
        <v>21</v>
      </c>
      <c r="F69" s="5" t="str">
        <f>PROPER(TRIM(Sales_Data[[#This Row],[Product]]))</f>
        <v>File Folder</v>
      </c>
      <c r="G69" s="2">
        <v>30</v>
      </c>
      <c r="H69" s="2">
        <v>60</v>
      </c>
      <c r="I69" s="2">
        <v>1800</v>
      </c>
      <c r="K69" s="10" t="s">
        <v>50</v>
      </c>
      <c r="L69" s="6">
        <f>VLOOKUP(K69,Sales_Data[[Product]:[Unit Price]],2,FALSE)</f>
        <v>3</v>
      </c>
      <c r="M69" s="6">
        <f>VLOOKUP(K69,Sales_Data[[Product]:[Unit Price]],3,FALSE)</f>
        <v>12500</v>
      </c>
    </row>
    <row r="70" spans="1:13" x14ac:dyDescent="0.3">
      <c r="A70" t="s">
        <v>181</v>
      </c>
      <c r="B70" s="1">
        <v>46300</v>
      </c>
      <c r="C70" s="5" t="str">
        <f>PROPER(TRIM(Sales_Data[[#This Row],[Region]]))</f>
        <v>South</v>
      </c>
      <c r="D70" s="5" t="str">
        <f>PROPER(TRIM(Sales_Data[[#This Row],[Sales Rep]]))</f>
        <v>Anjali Singh</v>
      </c>
      <c r="E70" s="5" t="s">
        <v>13</v>
      </c>
      <c r="F70" s="5" t="str">
        <f>PROPER(TRIM(Sales_Data[[#This Row],[Product]]))</f>
        <v>Bookshelf</v>
      </c>
      <c r="G70" s="2">
        <v>1</v>
      </c>
      <c r="H70" s="2">
        <v>5200</v>
      </c>
      <c r="I70" s="2">
        <v>5200</v>
      </c>
      <c r="K70" s="11" t="s">
        <v>44</v>
      </c>
      <c r="L70" s="6">
        <f>VLOOKUP(K70,Sales_Data[[Product]:[Unit Price]],2,FALSE)</f>
        <v>20</v>
      </c>
      <c r="M70" s="6">
        <f>VLOOKUP(K70,Sales_Data[[Product]:[Unit Price]],3,FALSE)</f>
        <v>60</v>
      </c>
    </row>
    <row r="71" spans="1:13" x14ac:dyDescent="0.3">
      <c r="A71" t="s">
        <v>182</v>
      </c>
      <c r="B71" s="1">
        <v>46300</v>
      </c>
      <c r="C71" s="5" t="str">
        <f>PROPER(TRIM(Sales_Data[[#This Row],[Region]]))</f>
        <v>North</v>
      </c>
      <c r="D71" s="5" t="str">
        <f>PROPER(TRIM(Sales_Data[[#This Row],[Sales Rep]]))</f>
        <v>Vikram Das</v>
      </c>
      <c r="E71" s="5" t="s">
        <v>10</v>
      </c>
      <c r="F71" s="5" t="str">
        <f>PROPER(TRIM(Sales_Data[[#This Row],[Product]]))</f>
        <v>Headphones</v>
      </c>
      <c r="G71" s="2">
        <v>5</v>
      </c>
      <c r="H71" s="2">
        <v>1800</v>
      </c>
      <c r="I71" s="2">
        <v>9000</v>
      </c>
      <c r="K71" s="10" t="s">
        <v>47</v>
      </c>
      <c r="L71" s="6">
        <f>VLOOKUP(K71,Sales_Data[[Product]:[Unit Price]],2,FALSE)</f>
        <v>2</v>
      </c>
      <c r="M71" s="6">
        <f>VLOOKUP(K71,Sales_Data[[Product]:[Unit Price]],3,FALSE)</f>
        <v>5200</v>
      </c>
    </row>
    <row r="72" spans="1:13" x14ac:dyDescent="0.3">
      <c r="A72" t="s">
        <v>183</v>
      </c>
      <c r="B72" s="1">
        <v>46301</v>
      </c>
      <c r="C72" s="5" t="str">
        <f>PROPER(TRIM(Sales_Data[[#This Row],[Region]]))</f>
        <v>East</v>
      </c>
      <c r="D72" s="5" t="str">
        <f>PROPER(TRIM(Sales_Data[[#This Row],[Sales Rep]]))</f>
        <v>Pooja Nair</v>
      </c>
      <c r="E72" s="5" t="s">
        <v>21</v>
      </c>
      <c r="F72" s="5" t="str">
        <f>PROPER(TRIM(Sales_Data[[#This Row],[Product]]))</f>
        <v>Stapler</v>
      </c>
      <c r="G72" s="2">
        <v>10</v>
      </c>
      <c r="H72" s="2">
        <v>180</v>
      </c>
      <c r="I72" s="2">
        <v>1800</v>
      </c>
      <c r="K72" s="11" t="s">
        <v>61</v>
      </c>
      <c r="L72" s="6">
        <f>VLOOKUP(K72,Sales_Data[[Product]:[Unit Price]],2,FALSE)</f>
        <v>4</v>
      </c>
      <c r="M72" s="6">
        <f>VLOOKUP(K72,Sales_Data[[Product]:[Unit Price]],3,FALSE)</f>
        <v>1800</v>
      </c>
    </row>
    <row r="73" spans="1:13" x14ac:dyDescent="0.3">
      <c r="A73" t="s">
        <v>184</v>
      </c>
      <c r="B73" s="1">
        <v>46301</v>
      </c>
      <c r="C73" s="5" t="str">
        <f>PROPER(TRIM(Sales_Data[[#This Row],[Region]]))</f>
        <v>West</v>
      </c>
      <c r="D73" s="5" t="str">
        <f>PROPER(TRIM(Sales_Data[[#This Row],[Sales Rep]]))</f>
        <v>Ramesh Kumar</v>
      </c>
      <c r="E73" s="5" t="s">
        <v>13</v>
      </c>
      <c r="F73" s="5" t="str">
        <f>PROPER(TRIM(Sales_Data[[#This Row],[Product]]))</f>
        <v>Visitor Chair</v>
      </c>
      <c r="G73" s="2">
        <v>4</v>
      </c>
      <c r="H73" s="2">
        <v>2200</v>
      </c>
      <c r="I73" s="2">
        <v>8800</v>
      </c>
      <c r="K73" s="10" t="s">
        <v>54</v>
      </c>
      <c r="L73" s="6">
        <f>VLOOKUP(K73,Sales_Data[[Product]:[Unit Price]],2,FALSE)</f>
        <v>7</v>
      </c>
      <c r="M73" s="6">
        <f>VLOOKUP(K73,Sales_Data[[Product]:[Unit Price]],3,FALSE)</f>
        <v>180</v>
      </c>
    </row>
    <row r="74" spans="1:13" x14ac:dyDescent="0.3">
      <c r="A74" t="s">
        <v>185</v>
      </c>
      <c r="B74" s="1">
        <v>46302</v>
      </c>
      <c r="C74" s="5" t="str">
        <f>PROPER(TRIM(Sales_Data[[#This Row],[Region]]))</f>
        <v>South</v>
      </c>
      <c r="D74" s="5" t="str">
        <f>PROPER(TRIM(Sales_Data[[#This Row],[Sales Rep]]))</f>
        <v>Mahesh Reddy</v>
      </c>
      <c r="E74" s="5" t="s">
        <v>10</v>
      </c>
      <c r="F74" s="5" t="str">
        <f>PROPER(TRIM(Sales_Data[[#This Row],[Product]]))</f>
        <v>Usb Cable</v>
      </c>
      <c r="G74" s="2">
        <v>15</v>
      </c>
      <c r="H74" s="2">
        <v>300</v>
      </c>
      <c r="I74" s="2">
        <v>4500</v>
      </c>
      <c r="K74" s="11" t="s">
        <v>57</v>
      </c>
      <c r="L74" s="6">
        <f>VLOOKUP(K74,Sales_Data[[Product]:[Unit Price]],2,FALSE)</f>
        <v>6</v>
      </c>
      <c r="M74" s="6">
        <f>VLOOKUP(K74,Sales_Data[[Product]:[Unit Price]],3,FALSE)</f>
        <v>2200</v>
      </c>
    </row>
    <row r="75" spans="1:13" x14ac:dyDescent="0.3">
      <c r="A75" t="s">
        <v>186</v>
      </c>
      <c r="B75" s="1">
        <v>46302</v>
      </c>
      <c r="C75" s="5" t="str">
        <f>PROPER(TRIM(Sales_Data[[#This Row],[Region]]))</f>
        <v>North</v>
      </c>
      <c r="D75" s="5" t="str">
        <f>PROPER(TRIM(Sales_Data[[#This Row],[Sales Rep]]))</f>
        <v>Divya Patel</v>
      </c>
      <c r="E75" s="5" t="s">
        <v>21</v>
      </c>
      <c r="F75" s="5" t="str">
        <f>PROPER(TRIM(Sales_Data[[#This Row],[Product]]))</f>
        <v>Whiteboard</v>
      </c>
      <c r="G75" s="2">
        <v>3</v>
      </c>
      <c r="H75" s="2">
        <v>2500</v>
      </c>
      <c r="I75" s="2">
        <v>7500</v>
      </c>
      <c r="K75" s="10" t="s">
        <v>40</v>
      </c>
      <c r="L75" s="6">
        <f>VLOOKUP(K75,Sales_Data[[Product]:[Unit Price]],2,FALSE)</f>
        <v>8</v>
      </c>
      <c r="M75" s="6">
        <f>VLOOKUP(K75,Sales_Data[[Product]:[Unit Price]],3,FALSE)</f>
        <v>300</v>
      </c>
    </row>
    <row r="76" spans="1:13" x14ac:dyDescent="0.3">
      <c r="A76" t="s">
        <v>187</v>
      </c>
      <c r="B76" s="1">
        <v>46303</v>
      </c>
      <c r="C76" s="5" t="str">
        <f>PROPER(TRIM(Sales_Data[[#This Row],[Region]]))</f>
        <v>East</v>
      </c>
      <c r="D76" s="5" t="str">
        <f>PROPER(TRIM(Sales_Data[[#This Row],[Sales Rep]]))</f>
        <v>Karan Shah</v>
      </c>
      <c r="E76" s="5" t="s">
        <v>13</v>
      </c>
      <c r="F76" s="5" t="str">
        <f>PROPER(TRIM(Sales_Data[[#This Row],[Product]]))</f>
        <v>Filing Cabinet</v>
      </c>
      <c r="G76" s="2">
        <v>1</v>
      </c>
      <c r="H76" s="2">
        <v>6800</v>
      </c>
      <c r="I76" s="2">
        <v>6800</v>
      </c>
      <c r="K76" s="11" t="s">
        <v>64</v>
      </c>
      <c r="L76" s="6">
        <f>VLOOKUP(K76,Sales_Data[[Product]:[Unit Price]],2,FALSE)</f>
        <v>2</v>
      </c>
      <c r="M76" s="6">
        <f>VLOOKUP(K76,Sales_Data[[Product]:[Unit Price]],3,FALSE)</f>
        <v>2500</v>
      </c>
    </row>
    <row r="77" spans="1:13" x14ac:dyDescent="0.3">
      <c r="A77" t="s">
        <v>188</v>
      </c>
      <c r="B77" s="1">
        <v>46303</v>
      </c>
      <c r="C77" s="5" t="str">
        <f>PROPER(TRIM(Sales_Data[[#This Row],[Region]]))</f>
        <v>West</v>
      </c>
      <c r="D77" s="5" t="str">
        <f>PROPER(TRIM(Sales_Data[[#This Row],[Sales Rep]]))</f>
        <v>Swathi Rao</v>
      </c>
      <c r="E77" s="5" t="s">
        <v>10</v>
      </c>
      <c r="F77" s="5" t="str">
        <f>PROPER(TRIM(Sales_Data[[#This Row],[Product]]))</f>
        <v>Webcam</v>
      </c>
      <c r="G77" s="2">
        <v>4</v>
      </c>
      <c r="H77" s="2">
        <v>3200</v>
      </c>
      <c r="I77" s="2">
        <v>12800</v>
      </c>
      <c r="K77" s="10" t="s">
        <v>67</v>
      </c>
      <c r="L77" s="6">
        <f>VLOOKUP(K77,Sales_Data[[Product]:[Unit Price]],2,FALSE)</f>
        <v>2</v>
      </c>
      <c r="M77" s="6">
        <f>VLOOKUP(K77,Sales_Data[[Product]:[Unit Price]],3,FALSE)</f>
        <v>6800</v>
      </c>
    </row>
    <row r="78" spans="1:13" x14ac:dyDescent="0.3">
      <c r="A78" t="s">
        <v>189</v>
      </c>
      <c r="B78" s="1">
        <v>46304</v>
      </c>
      <c r="C78" s="5" t="str">
        <f>PROPER(TRIM(Sales_Data[[#This Row],[Region]]))</f>
        <v>South</v>
      </c>
      <c r="D78" s="5" t="str">
        <f>PROPER(TRIM(Sales_Data[[#This Row],[Sales Rep]]))</f>
        <v>Suresh Kumar</v>
      </c>
      <c r="E78" s="5" t="s">
        <v>21</v>
      </c>
      <c r="F78" s="5" t="str">
        <f>PROPER(TRIM(Sales_Data[[#This Row],[Product]]))</f>
        <v>Calculator</v>
      </c>
      <c r="G78" s="2">
        <v>8</v>
      </c>
      <c r="H78" s="2">
        <v>450</v>
      </c>
      <c r="I78" s="2">
        <v>3600</v>
      </c>
      <c r="K78" s="11" t="s">
        <v>70</v>
      </c>
      <c r="L78" s="6">
        <f>VLOOKUP(K78,Sales_Data[[Product]:[Unit Price]],2,FALSE)</f>
        <v>3</v>
      </c>
      <c r="M78" s="6">
        <f>VLOOKUP(K78,Sales_Data[[Product]:[Unit Price]],3,FALSE)</f>
        <v>3200</v>
      </c>
    </row>
    <row r="79" spans="1:13" x14ac:dyDescent="0.3">
      <c r="A79" t="s">
        <v>190</v>
      </c>
      <c r="B79" s="1">
        <v>46304</v>
      </c>
      <c r="C79" s="5" t="str">
        <f>PROPER(TRIM(Sales_Data[[#This Row],[Region]]))</f>
        <v>North</v>
      </c>
      <c r="D79" s="5" t="str">
        <f>PROPER(TRIM(Sales_Data[[#This Row],[Sales Rep]]))</f>
        <v>Meena Devi</v>
      </c>
      <c r="E79" s="5" t="s">
        <v>13</v>
      </c>
      <c r="F79" s="5" t="str">
        <f>PROPER(TRIM(Sales_Data[[#This Row],[Product]]))</f>
        <v>Conference Table</v>
      </c>
      <c r="G79" s="2">
        <v>2</v>
      </c>
      <c r="H79" s="2">
        <v>14500</v>
      </c>
      <c r="I79" s="2">
        <v>29000</v>
      </c>
      <c r="K79" s="10" t="s">
        <v>73</v>
      </c>
      <c r="L79" s="6">
        <f>VLOOKUP(K79,Sales_Data[[Product]:[Unit Price]],2,FALSE)</f>
        <v>5</v>
      </c>
      <c r="M79" s="6">
        <f>VLOOKUP(K79,Sales_Data[[Product]:[Unit Price]],3,FALSE)</f>
        <v>450</v>
      </c>
    </row>
    <row r="80" spans="1:13" x14ac:dyDescent="0.3">
      <c r="A80" t="s">
        <v>191</v>
      </c>
      <c r="B80" s="1">
        <v>46305</v>
      </c>
      <c r="C80" s="5" t="str">
        <f>PROPER(TRIM(Sales_Data[[#This Row],[Region]]))</f>
        <v>East</v>
      </c>
      <c r="D80" s="5" t="str">
        <f>PROPER(TRIM(Sales_Data[[#This Row],[Sales Rep]]))</f>
        <v>Ajay Verma</v>
      </c>
      <c r="E80" s="5" t="s">
        <v>10</v>
      </c>
      <c r="F80" s="5" t="str">
        <f>PROPER(TRIM(Sales_Data[[#This Row],[Product]]))</f>
        <v>Printer</v>
      </c>
      <c r="G80" s="2">
        <v>3</v>
      </c>
      <c r="H80" s="2">
        <v>8500</v>
      </c>
      <c r="I80" s="2">
        <v>25500</v>
      </c>
      <c r="K80" s="11" t="s">
        <v>76</v>
      </c>
      <c r="L80" s="6">
        <f>VLOOKUP(K80,Sales_Data[[Product]:[Unit Price]],2,FALSE)</f>
        <v>1</v>
      </c>
      <c r="M80" s="6">
        <f>VLOOKUP(K80,Sales_Data[[Product]:[Unit Price]],3,FALSE)</f>
        <v>14500</v>
      </c>
    </row>
    <row r="81" spans="1:13" x14ac:dyDescent="0.3">
      <c r="A81" t="s">
        <v>192</v>
      </c>
      <c r="B81" s="1">
        <v>46305</v>
      </c>
      <c r="C81" s="5" t="str">
        <f>PROPER(TRIM(Sales_Data[[#This Row],[Region]]))</f>
        <v>West</v>
      </c>
      <c r="D81" s="5" t="str">
        <f>PROPER(TRIM(Sales_Data[[#This Row],[Sales Rep]]))</f>
        <v>Ravi Nair</v>
      </c>
      <c r="E81" s="5" t="s">
        <v>21</v>
      </c>
      <c r="F81" s="5" t="str">
        <f>PROPER(TRIM(Sales_Data[[#This Row],[Product]]))</f>
        <v>Diary</v>
      </c>
      <c r="G81" s="2">
        <v>20</v>
      </c>
      <c r="H81" s="2">
        <v>250</v>
      </c>
      <c r="I81" s="2">
        <v>5000</v>
      </c>
      <c r="K81" s="10" t="s">
        <v>79</v>
      </c>
      <c r="L81" s="6">
        <f>VLOOKUP(K81,Sales_Data[[Product]:[Unit Price]],2,FALSE)</f>
        <v>2</v>
      </c>
      <c r="M81" s="6">
        <f>VLOOKUP(K81,Sales_Data[[Product]:[Unit Price]],3,FALSE)</f>
        <v>8500</v>
      </c>
    </row>
    <row r="82" spans="1:13" x14ac:dyDescent="0.3">
      <c r="A82" t="s">
        <v>193</v>
      </c>
      <c r="B82" s="1">
        <v>46306</v>
      </c>
      <c r="C82" s="5" t="str">
        <f>PROPER(TRIM(Sales_Data[[#This Row],[Region]]))</f>
        <v>South</v>
      </c>
      <c r="D82" s="5" t="str">
        <f>PROPER(TRIM(Sales_Data[[#This Row],[Sales Rep]]))</f>
        <v>Priya Sharma</v>
      </c>
      <c r="E82" s="5" t="s">
        <v>13</v>
      </c>
      <c r="F82" s="5" t="str">
        <f>PROPER(TRIM(Sales_Data[[#This Row],[Product]]))</f>
        <v>Executive Chair</v>
      </c>
      <c r="G82" s="2">
        <v>1</v>
      </c>
      <c r="H82" s="2">
        <v>8500</v>
      </c>
      <c r="I82" s="2">
        <v>8500</v>
      </c>
      <c r="K82" s="11" t="s">
        <v>82</v>
      </c>
      <c r="L82" s="6">
        <f>VLOOKUP(K82,Sales_Data[[Product]:[Unit Price]],2,FALSE)</f>
        <v>12</v>
      </c>
      <c r="M82" s="6">
        <f>VLOOKUP(K82,Sales_Data[[Product]:[Unit Price]],3,FALSE)</f>
        <v>250</v>
      </c>
    </row>
    <row r="83" spans="1:13" x14ac:dyDescent="0.3">
      <c r="A83" t="s">
        <v>194</v>
      </c>
      <c r="B83" s="1">
        <v>46306</v>
      </c>
      <c r="C83" s="5" t="str">
        <f>PROPER(TRIM(Sales_Data[[#This Row],[Region]]))</f>
        <v>North</v>
      </c>
      <c r="D83" s="5" t="str">
        <f>PROPER(TRIM(Sales_Data[[#This Row],[Sales Rep]]))</f>
        <v>Rahul Singh</v>
      </c>
      <c r="E83" s="5" t="s">
        <v>10</v>
      </c>
      <c r="F83" s="5" t="str">
        <f>PROPER(TRIM(Sales_Data[[#This Row],[Product]]))</f>
        <v>Laptop Stand</v>
      </c>
      <c r="G83" s="2">
        <v>6</v>
      </c>
      <c r="H83" s="2">
        <v>2200</v>
      </c>
      <c r="I83" s="2">
        <v>13200</v>
      </c>
      <c r="K83" s="10" t="s">
        <v>84</v>
      </c>
      <c r="L83" s="6">
        <f>VLOOKUP(K83,Sales_Data[[Product]:[Unit Price]],2,FALSE)</f>
        <v>2</v>
      </c>
      <c r="M83" s="6">
        <f>VLOOKUP(K83,Sales_Data[[Product]:[Unit Price]],3,FALSE)</f>
        <v>8500</v>
      </c>
    </row>
    <row r="84" spans="1:13" x14ac:dyDescent="0.3">
      <c r="A84" t="s">
        <v>195</v>
      </c>
      <c r="B84" s="1">
        <v>46307</v>
      </c>
      <c r="C84" s="5" t="str">
        <f>PROPER(TRIM(Sales_Data[[#This Row],[Region]]))</f>
        <v>East</v>
      </c>
      <c r="D84" s="5" t="str">
        <f>PROPER(TRIM(Sales_Data[[#This Row],[Sales Rep]]))</f>
        <v>Neha Patel</v>
      </c>
      <c r="E84" s="5" t="s">
        <v>21</v>
      </c>
      <c r="F84" s="5" t="str">
        <f>PROPER(TRIM(Sales_Data[[#This Row],[Product]]))</f>
        <v>Highlighter</v>
      </c>
      <c r="G84" s="2">
        <v>25</v>
      </c>
      <c r="H84" s="2">
        <v>70</v>
      </c>
      <c r="I84" s="2">
        <v>1750</v>
      </c>
      <c r="K84" s="11" t="s">
        <v>86</v>
      </c>
      <c r="L84" s="6">
        <f>VLOOKUP(K84,Sales_Data[[Product]:[Unit Price]],2,FALSE)</f>
        <v>4</v>
      </c>
      <c r="M84" s="6">
        <f>VLOOKUP(K84,Sales_Data[[Product]:[Unit Price]],3,FALSE)</f>
        <v>2200</v>
      </c>
    </row>
    <row r="85" spans="1:13" x14ac:dyDescent="0.3">
      <c r="A85" t="s">
        <v>196</v>
      </c>
      <c r="B85" s="1">
        <v>46307</v>
      </c>
      <c r="C85" s="5" t="str">
        <f>PROPER(TRIM(Sales_Data[[#This Row],[Region]]))</f>
        <v>West</v>
      </c>
      <c r="D85" s="5" t="str">
        <f>PROPER(TRIM(Sales_Data[[#This Row],[Sales Rep]]))</f>
        <v>Amit Verma</v>
      </c>
      <c r="E85" s="5" t="s">
        <v>13</v>
      </c>
      <c r="F85" s="5" t="str">
        <f>PROPER(TRIM(Sales_Data[[#This Row],[Product]]))</f>
        <v>Desk</v>
      </c>
      <c r="G85" s="2">
        <v>1</v>
      </c>
      <c r="H85" s="2">
        <v>9200</v>
      </c>
      <c r="I85" s="2">
        <v>9200</v>
      </c>
      <c r="K85" s="10" t="s">
        <v>88</v>
      </c>
      <c r="L85" s="6">
        <f>VLOOKUP(K85,Sales_Data[[Product]:[Unit Price]],2,FALSE)</f>
        <v>18</v>
      </c>
      <c r="M85" s="6">
        <f>VLOOKUP(K85,Sales_Data[[Product]:[Unit Price]],3,FALSE)</f>
        <v>70</v>
      </c>
    </row>
    <row r="86" spans="1:13" x14ac:dyDescent="0.3">
      <c r="A86" t="s">
        <v>197</v>
      </c>
      <c r="B86" s="1">
        <v>46308</v>
      </c>
      <c r="C86" s="5" t="str">
        <f>PROPER(TRIM(Sales_Data[[#This Row],[Region]]))</f>
        <v>South</v>
      </c>
      <c r="D86" s="5" t="str">
        <f>PROPER(TRIM(Sales_Data[[#This Row],[Sales Rep]]))</f>
        <v>Kavya Mehta</v>
      </c>
      <c r="E86" s="5" t="s">
        <v>10</v>
      </c>
      <c r="F86" s="5" t="str">
        <f>PROPER(TRIM(Sales_Data[[#This Row],[Product]]))</f>
        <v>Speaker</v>
      </c>
      <c r="G86" s="2">
        <v>5</v>
      </c>
      <c r="H86" s="2">
        <v>2800</v>
      </c>
      <c r="I86" s="2">
        <v>14000</v>
      </c>
      <c r="K86" s="11" t="s">
        <v>90</v>
      </c>
      <c r="L86" s="6">
        <f>VLOOKUP(K86,Sales_Data[[Product]:[Unit Price]],2,FALSE)</f>
        <v>2</v>
      </c>
      <c r="M86" s="6">
        <f>VLOOKUP(K86,Sales_Data[[Product]:[Unit Price]],3,FALSE)</f>
        <v>9200</v>
      </c>
    </row>
    <row r="87" spans="1:13" x14ac:dyDescent="0.3">
      <c r="A87" t="s">
        <v>198</v>
      </c>
      <c r="B87" s="1">
        <v>46308</v>
      </c>
      <c r="C87" s="5" t="str">
        <f>PROPER(TRIM(Sales_Data[[#This Row],[Region]]))</f>
        <v>North</v>
      </c>
      <c r="D87" s="5" t="str">
        <f>PROPER(TRIM(Sales_Data[[#This Row],[Sales Rep]]))</f>
        <v>Arun Reddy</v>
      </c>
      <c r="E87" s="5" t="s">
        <v>21</v>
      </c>
      <c r="F87" s="5" t="str">
        <f>PROPER(TRIM(Sales_Data[[#This Row],[Product]]))</f>
        <v>Clipboard</v>
      </c>
      <c r="G87" s="2">
        <v>15</v>
      </c>
      <c r="H87" s="2">
        <v>90</v>
      </c>
      <c r="I87" s="2">
        <v>1350</v>
      </c>
      <c r="K87" s="10" t="s">
        <v>93</v>
      </c>
      <c r="L87" s="6">
        <f>VLOOKUP(K87,Sales_Data[[Product]:[Unit Price]],2,FALSE)</f>
        <v>3</v>
      </c>
      <c r="M87" s="6">
        <f>VLOOKUP(K87,Sales_Data[[Product]:[Unit Price]],3,FALSE)</f>
        <v>2800</v>
      </c>
    </row>
    <row r="88" spans="1:13" x14ac:dyDescent="0.3">
      <c r="A88" t="s">
        <v>199</v>
      </c>
      <c r="B88" s="1">
        <v>46309</v>
      </c>
      <c r="C88" s="5" t="str">
        <f>PROPER(TRIM(Sales_Data[[#This Row],[Region]]))</f>
        <v>East</v>
      </c>
      <c r="D88" s="5" t="str">
        <f>PROPER(TRIM(Sales_Data[[#This Row],[Sales Rep]]))</f>
        <v>Rajesh Kumar</v>
      </c>
      <c r="E88" s="5" t="s">
        <v>13</v>
      </c>
      <c r="F88" s="5" t="str">
        <f>PROPER(TRIM(Sales_Data[[#This Row],[Product]]))</f>
        <v>Visitor Table</v>
      </c>
      <c r="G88" s="2">
        <v>2</v>
      </c>
      <c r="H88" s="2">
        <v>3200</v>
      </c>
      <c r="I88" s="2">
        <v>6400</v>
      </c>
      <c r="K88" s="11" t="s">
        <v>96</v>
      </c>
      <c r="L88" s="6">
        <f>VLOOKUP(K88,Sales_Data[[Product]:[Unit Price]],2,FALSE)</f>
        <v>10</v>
      </c>
      <c r="M88" s="6">
        <f>VLOOKUP(K88,Sales_Data[[Product]:[Unit Price]],3,FALSE)</f>
        <v>90</v>
      </c>
    </row>
    <row r="89" spans="1:13" x14ac:dyDescent="0.3">
      <c r="A89" t="s">
        <v>200</v>
      </c>
      <c r="B89" s="1">
        <v>46309</v>
      </c>
      <c r="C89" s="5" t="str">
        <f>PROPER(TRIM(Sales_Data[[#This Row],[Region]]))</f>
        <v>West</v>
      </c>
      <c r="D89" s="5" t="str">
        <f>PROPER(TRIM(Sales_Data[[#This Row],[Sales Rep]]))</f>
        <v>Sneha Rao</v>
      </c>
      <c r="E89" s="5" t="s">
        <v>10</v>
      </c>
      <c r="F89" s="5" t="str">
        <f>PROPER(TRIM(Sales_Data[[#This Row],[Product]]))</f>
        <v>External Hard Drive</v>
      </c>
      <c r="G89" s="2">
        <v>3</v>
      </c>
      <c r="H89" s="2">
        <v>6500</v>
      </c>
      <c r="I89" s="2">
        <v>19500</v>
      </c>
      <c r="K89" s="10" t="s">
        <v>99</v>
      </c>
      <c r="L89" s="6">
        <f>VLOOKUP(K89,Sales_Data[[Product]:[Unit Price]],2,FALSE)</f>
        <v>3</v>
      </c>
      <c r="M89" s="6">
        <f>VLOOKUP(K89,Sales_Data[[Product]:[Unit Price]],3,FALSE)</f>
        <v>3200</v>
      </c>
    </row>
    <row r="90" spans="1:13" x14ac:dyDescent="0.3">
      <c r="A90" t="s">
        <v>201</v>
      </c>
      <c r="B90" s="1">
        <v>46310</v>
      </c>
      <c r="C90" s="5" t="str">
        <f>PROPER(TRIM(Sales_Data[[#This Row],[Region]]))</f>
        <v>South</v>
      </c>
      <c r="D90" s="5" t="str">
        <f>PROPER(TRIM(Sales_Data[[#This Row],[Sales Rep]]))</f>
        <v>Anjali Singh</v>
      </c>
      <c r="E90" s="5" t="s">
        <v>21</v>
      </c>
      <c r="F90" s="5" t="str">
        <f>PROPER(TRIM(Sales_Data[[#This Row],[Product]]))</f>
        <v>Ink Cartridge</v>
      </c>
      <c r="G90" s="2">
        <v>4</v>
      </c>
      <c r="H90" s="2">
        <v>1450</v>
      </c>
      <c r="I90" s="2">
        <v>5800</v>
      </c>
      <c r="K90" s="11" t="s">
        <v>101</v>
      </c>
      <c r="L90" s="6">
        <f>VLOOKUP(K90,Sales_Data[[Product]:[Unit Price]],2,FALSE)</f>
        <v>2</v>
      </c>
      <c r="M90" s="6">
        <f>VLOOKUP(K90,Sales_Data[[Product]:[Unit Price]],3,FALSE)</f>
        <v>6500</v>
      </c>
    </row>
    <row r="91" spans="1:13" x14ac:dyDescent="0.3">
      <c r="A91" t="s">
        <v>202</v>
      </c>
      <c r="B91" s="1">
        <v>46310</v>
      </c>
      <c r="C91" s="5" t="str">
        <f>PROPER(TRIM(Sales_Data[[#This Row],[Region]]))</f>
        <v>North</v>
      </c>
      <c r="D91" s="5" t="str">
        <f>PROPER(TRIM(Sales_Data[[#This Row],[Sales Rep]]))</f>
        <v>Vikram Das</v>
      </c>
      <c r="E91" s="5" t="s">
        <v>13</v>
      </c>
      <c r="F91" s="5" t="str">
        <f>PROPER(TRIM(Sales_Data[[#This Row],[Product]]))</f>
        <v>Reception Desk</v>
      </c>
      <c r="G91" s="2">
        <v>1</v>
      </c>
      <c r="H91" s="2">
        <v>18500</v>
      </c>
      <c r="I91" s="2">
        <v>18500</v>
      </c>
      <c r="K91" s="10" t="s">
        <v>103</v>
      </c>
      <c r="L91" s="6">
        <f>VLOOKUP(K91,Sales_Data[[Product]:[Unit Price]],2,FALSE)</f>
        <v>5</v>
      </c>
      <c r="M91" s="6">
        <f>VLOOKUP(K91,Sales_Data[[Product]:[Unit Price]],3,FALSE)</f>
        <v>1450</v>
      </c>
    </row>
    <row r="92" spans="1:13" x14ac:dyDescent="0.3">
      <c r="A92" t="s">
        <v>203</v>
      </c>
      <c r="B92" s="1">
        <v>46311</v>
      </c>
      <c r="C92" s="5" t="str">
        <f>PROPER(TRIM(Sales_Data[[#This Row],[Region]]))</f>
        <v>East</v>
      </c>
      <c r="D92" s="5" t="str">
        <f>PROPER(TRIM(Sales_Data[[#This Row],[Sales Rep]]))</f>
        <v>Pooja Nair</v>
      </c>
      <c r="E92" s="5" t="s">
        <v>10</v>
      </c>
      <c r="F92" s="5" t="str">
        <f>PROPER(TRIM(Sales_Data[[#This Row],[Product]]))</f>
        <v>Flash Drive</v>
      </c>
      <c r="G92" s="2">
        <v>12</v>
      </c>
      <c r="H92" s="2">
        <v>700</v>
      </c>
      <c r="I92" s="2">
        <v>8400</v>
      </c>
      <c r="K92" s="11" t="s">
        <v>105</v>
      </c>
      <c r="L92" s="6">
        <f>VLOOKUP(K92,Sales_Data[[Product]:[Unit Price]],2,FALSE)</f>
        <v>1</v>
      </c>
      <c r="M92" s="6">
        <f>VLOOKUP(K92,Sales_Data[[Product]:[Unit Price]],3,FALSE)</f>
        <v>18500</v>
      </c>
    </row>
    <row r="93" spans="1:13" x14ac:dyDescent="0.3">
      <c r="A93" t="s">
        <v>204</v>
      </c>
      <c r="B93" s="1">
        <v>46311</v>
      </c>
      <c r="C93" s="5" t="str">
        <f>PROPER(TRIM(Sales_Data[[#This Row],[Region]]))</f>
        <v>West</v>
      </c>
      <c r="D93" s="5" t="str">
        <f>PROPER(TRIM(Sales_Data[[#This Row],[Sales Rep]]))</f>
        <v>Ramesh Kumar</v>
      </c>
      <c r="E93" s="5" t="s">
        <v>21</v>
      </c>
      <c r="F93" s="5" t="str">
        <f>PROPER(TRIM(Sales_Data[[#This Row],[Product]]))</f>
        <v>Sticky Notes</v>
      </c>
      <c r="G93" s="2">
        <v>20</v>
      </c>
      <c r="H93" s="2">
        <v>50</v>
      </c>
      <c r="I93" s="2">
        <v>1000</v>
      </c>
      <c r="K93" s="10" t="s">
        <v>108</v>
      </c>
      <c r="L93" s="6">
        <f>VLOOKUP(K93,Sales_Data[[Product]:[Unit Price]],2,FALSE)</f>
        <v>10</v>
      </c>
      <c r="M93" s="6">
        <f>VLOOKUP(K93,Sales_Data[[Product]:[Unit Price]],3,FALSE)</f>
        <v>700</v>
      </c>
    </row>
    <row r="94" spans="1:13" x14ac:dyDescent="0.3">
      <c r="A94" t="s">
        <v>205</v>
      </c>
      <c r="B94" s="1">
        <v>46312</v>
      </c>
      <c r="C94" s="5" t="str">
        <f>PROPER(TRIM(Sales_Data[[#This Row],[Region]]))</f>
        <v>South</v>
      </c>
      <c r="D94" s="5" t="str">
        <f>PROPER(TRIM(Sales_Data[[#This Row],[Sales Rep]]))</f>
        <v>Mahesh Reddy</v>
      </c>
      <c r="E94" s="5" t="s">
        <v>13</v>
      </c>
      <c r="F94" s="5" t="str">
        <f>PROPER(TRIM(Sales_Data[[#This Row],[Product]]))</f>
        <v>Metal Rack</v>
      </c>
      <c r="G94" s="2">
        <v>2</v>
      </c>
      <c r="H94" s="2">
        <v>4800</v>
      </c>
      <c r="I94" s="2">
        <v>9600</v>
      </c>
      <c r="K94" s="11" t="s">
        <v>110</v>
      </c>
      <c r="L94" s="6">
        <f>VLOOKUP(K94,Sales_Data[[Product]:[Unit Price]],2,FALSE)</f>
        <v>25</v>
      </c>
      <c r="M94" s="6">
        <f>VLOOKUP(K94,Sales_Data[[Product]:[Unit Price]],3,FALSE)</f>
        <v>50</v>
      </c>
    </row>
    <row r="95" spans="1:13" x14ac:dyDescent="0.3">
      <c r="A95" t="s">
        <v>206</v>
      </c>
      <c r="B95" s="1">
        <v>46312</v>
      </c>
      <c r="C95" s="5" t="str">
        <f>PROPER(TRIM(Sales_Data[[#This Row],[Region]]))</f>
        <v>North</v>
      </c>
      <c r="D95" s="5" t="str">
        <f>PROPER(TRIM(Sales_Data[[#This Row],[Sales Rep]]))</f>
        <v>Divya Patel</v>
      </c>
      <c r="E95" s="5" t="s">
        <v>10</v>
      </c>
      <c r="F95" s="5" t="str">
        <f>PROPER(TRIM(Sales_Data[[#This Row],[Product]]))</f>
        <v>Tablet</v>
      </c>
      <c r="G95" s="2">
        <v>1</v>
      </c>
      <c r="H95" s="2">
        <v>18500</v>
      </c>
      <c r="I95" s="2">
        <v>18500</v>
      </c>
      <c r="K95" s="10" t="s">
        <v>112</v>
      </c>
      <c r="L95" s="6">
        <f>VLOOKUP(K95,Sales_Data[[Product]:[Unit Price]],2,FALSE)</f>
        <v>3</v>
      </c>
      <c r="M95" s="6">
        <f>VLOOKUP(K95,Sales_Data[[Product]:[Unit Price]],3,FALSE)</f>
        <v>4800</v>
      </c>
    </row>
    <row r="96" spans="1:13" x14ac:dyDescent="0.3">
      <c r="A96" t="s">
        <v>207</v>
      </c>
      <c r="B96" s="1">
        <v>46313</v>
      </c>
      <c r="C96" s="5" t="str">
        <f>PROPER(TRIM(Sales_Data[[#This Row],[Region]]))</f>
        <v>East</v>
      </c>
      <c r="D96" s="5" t="str">
        <f>PROPER(TRIM(Sales_Data[[#This Row],[Sales Rep]]))</f>
        <v>Karan Shah</v>
      </c>
      <c r="E96" s="5" t="s">
        <v>21</v>
      </c>
      <c r="F96" s="5" t="str">
        <f>PROPER(TRIM(Sales_Data[[#This Row],[Product]]))</f>
        <v>Envelope Pack</v>
      </c>
      <c r="G96" s="2">
        <v>20</v>
      </c>
      <c r="H96" s="2">
        <v>110</v>
      </c>
      <c r="I96" s="2">
        <v>2200</v>
      </c>
      <c r="K96" s="11" t="s">
        <v>114</v>
      </c>
      <c r="L96" s="6">
        <f>VLOOKUP(K96,Sales_Data[[Product]:[Unit Price]],2,FALSE)</f>
        <v>2</v>
      </c>
      <c r="M96" s="6">
        <f>VLOOKUP(K96,Sales_Data[[Product]:[Unit Price]],3,FALSE)</f>
        <v>18500</v>
      </c>
    </row>
    <row r="97" spans="1:13" x14ac:dyDescent="0.3">
      <c r="A97" t="s">
        <v>208</v>
      </c>
      <c r="B97" s="1">
        <v>46313</v>
      </c>
      <c r="C97" s="5" t="str">
        <f>PROPER(TRIM(Sales_Data[[#This Row],[Region]]))</f>
        <v>West</v>
      </c>
      <c r="D97" s="5" t="str">
        <f>PROPER(TRIM(Sales_Data[[#This Row],[Sales Rep]]))</f>
        <v>Swathi Rao</v>
      </c>
      <c r="E97" s="5" t="s">
        <v>13</v>
      </c>
      <c r="F97" s="5" t="str">
        <f>PROPER(TRIM(Sales_Data[[#This Row],[Product]]))</f>
        <v>Coffee Table</v>
      </c>
      <c r="G97" s="2">
        <v>3</v>
      </c>
      <c r="H97" s="2">
        <v>4200</v>
      </c>
      <c r="I97" s="2">
        <v>12600</v>
      </c>
      <c r="K97" s="10" t="s">
        <v>117</v>
      </c>
      <c r="L97" s="6">
        <f>VLOOKUP(K97,Sales_Data[[Product]:[Unit Price]],2,FALSE)</f>
        <v>15</v>
      </c>
      <c r="M97" s="6">
        <f>VLOOKUP(K97,Sales_Data[[Product]:[Unit Price]],3,FALSE)</f>
        <v>110</v>
      </c>
    </row>
    <row r="98" spans="1:13" x14ac:dyDescent="0.3">
      <c r="A98" t="s">
        <v>209</v>
      </c>
      <c r="B98" s="1">
        <v>46314</v>
      </c>
      <c r="C98" s="5" t="str">
        <f>PROPER(TRIM(Sales_Data[[#This Row],[Region]]))</f>
        <v>South</v>
      </c>
      <c r="D98" s="5" t="str">
        <f>PROPER(TRIM(Sales_Data[[#This Row],[Sales Rep]]))</f>
        <v>Suresh Kumar</v>
      </c>
      <c r="E98" s="5" t="s">
        <v>10</v>
      </c>
      <c r="F98" s="5" t="str">
        <f>PROPER(TRIM(Sales_Data[[#This Row],[Product]]))</f>
        <v>Bluetooth Speaker</v>
      </c>
      <c r="G98" s="2">
        <v>6</v>
      </c>
      <c r="H98" s="2">
        <v>2100</v>
      </c>
      <c r="I98" s="2">
        <v>12600</v>
      </c>
      <c r="K98" s="11" t="s">
        <v>119</v>
      </c>
      <c r="L98" s="6">
        <f>VLOOKUP(K98,Sales_Data[[Product]:[Unit Price]],2,FALSE)</f>
        <v>2</v>
      </c>
      <c r="M98" s="6">
        <f>VLOOKUP(K98,Sales_Data[[Product]:[Unit Price]],3,FALSE)</f>
        <v>4200</v>
      </c>
    </row>
    <row r="99" spans="1:13" x14ac:dyDescent="0.3">
      <c r="A99" t="s">
        <v>210</v>
      </c>
      <c r="B99" s="1">
        <v>46314</v>
      </c>
      <c r="C99" s="5" t="str">
        <f>PROPER(TRIM(Sales_Data[[#This Row],[Region]]))</f>
        <v>North</v>
      </c>
      <c r="D99" s="5" t="str">
        <f>PROPER(TRIM(Sales_Data[[#This Row],[Sales Rep]]))</f>
        <v>Meena Devi</v>
      </c>
      <c r="E99" s="5" t="s">
        <v>21</v>
      </c>
      <c r="F99" s="5" t="str">
        <f>PROPER(TRIM(Sales_Data[[#This Row],[Product]]))</f>
        <v>Desk Organizer</v>
      </c>
      <c r="G99" s="2">
        <v>10</v>
      </c>
      <c r="H99" s="2">
        <v>350</v>
      </c>
      <c r="I99" s="2">
        <v>3500</v>
      </c>
      <c r="K99" s="10" t="s">
        <v>122</v>
      </c>
      <c r="L99" s="6">
        <f>VLOOKUP(K99,Sales_Data[[Product]:[Unit Price]],2,FALSE)</f>
        <v>4</v>
      </c>
      <c r="M99" s="6">
        <f>VLOOKUP(K99,Sales_Data[[Product]:[Unit Price]],3,FALSE)</f>
        <v>2100</v>
      </c>
    </row>
    <row r="100" spans="1:13" x14ac:dyDescent="0.3">
      <c r="A100" t="s">
        <v>211</v>
      </c>
      <c r="B100" s="1">
        <v>46315</v>
      </c>
      <c r="C100" s="5" t="str">
        <f>PROPER(TRIM(Sales_Data[[#This Row],[Region]]))</f>
        <v>East</v>
      </c>
      <c r="D100" s="5" t="str">
        <f>PROPER(TRIM(Sales_Data[[#This Row],[Sales Rep]]))</f>
        <v>Ajay Verma</v>
      </c>
      <c r="E100" s="5" t="s">
        <v>13</v>
      </c>
      <c r="F100" s="5" t="str">
        <f>PROPER(TRIM(Sales_Data[[#This Row],[Product]]))</f>
        <v>Wooden Cabinet</v>
      </c>
      <c r="G100" s="2">
        <v>1</v>
      </c>
      <c r="H100" s="2">
        <v>7200</v>
      </c>
      <c r="I100" s="2">
        <v>7200</v>
      </c>
      <c r="K100" s="11" t="s">
        <v>124</v>
      </c>
      <c r="L100" s="6">
        <f>VLOOKUP(K100,Sales_Data[[Product]:[Unit Price]],2,FALSE)</f>
        <v>8</v>
      </c>
      <c r="M100" s="6">
        <f>VLOOKUP(K100,Sales_Data[[Product]:[Unit Price]],3,FALSE)</f>
        <v>350</v>
      </c>
    </row>
    <row r="101" spans="1:13" x14ac:dyDescent="0.3">
      <c r="A101" t="s">
        <v>212</v>
      </c>
      <c r="B101" s="1">
        <v>46315</v>
      </c>
      <c r="C101" s="5" t="str">
        <f>PROPER(TRIM(Sales_Data[[#This Row],[Region]]))</f>
        <v>West</v>
      </c>
      <c r="D101" s="5" t="str">
        <f>PROPER(TRIM(Sales_Data[[#This Row],[Sales Rep]]))</f>
        <v>Ravi Nair</v>
      </c>
      <c r="E101" s="5" t="s">
        <v>10</v>
      </c>
      <c r="F101" s="5" t="str">
        <f>PROPER(TRIM(Sales_Data[[#This Row],[Product]]))</f>
        <v>Laser Printer</v>
      </c>
      <c r="G101" s="2">
        <v>2</v>
      </c>
      <c r="H101" s="2">
        <v>15500</v>
      </c>
      <c r="I101" s="2">
        <v>31000</v>
      </c>
      <c r="K101" s="10" t="s">
        <v>126</v>
      </c>
      <c r="L101" s="6">
        <f>VLOOKUP(K101,Sales_Data[[Product]:[Unit Price]],2,FALSE)</f>
        <v>2</v>
      </c>
      <c r="M101" s="6">
        <f>VLOOKUP(K101,Sales_Data[[Product]:[Unit Price]],3,FALSE)</f>
        <v>7200</v>
      </c>
    </row>
    <row r="102" spans="1:13" x14ac:dyDescent="0.3">
      <c r="A102" t="s">
        <v>213</v>
      </c>
      <c r="B102" s="1">
        <v>46316</v>
      </c>
      <c r="C102" s="5" t="str">
        <f>PROPER(TRIM(Sales_Data[[#This Row],[Region]]))</f>
        <v>South</v>
      </c>
      <c r="D102" s="5" t="str">
        <f>PROPER(TRIM(Sales_Data[[#This Row],[Sales Rep]]))</f>
        <v>Priya Sharma</v>
      </c>
      <c r="E102" s="5" t="s">
        <v>21</v>
      </c>
      <c r="F102" s="5" t="str">
        <f>PROPER(TRIM(Sales_Data[[#This Row],[Product]]))</f>
        <v>Ledger Book</v>
      </c>
      <c r="G102" s="2">
        <v>15</v>
      </c>
      <c r="H102" s="2">
        <v>180</v>
      </c>
      <c r="I102" s="2">
        <v>2700</v>
      </c>
      <c r="K102" s="11" t="s">
        <v>129</v>
      </c>
      <c r="L102" s="6">
        <f>VLOOKUP(K102,Sales_Data[[Product]:[Unit Price]],2,FALSE)</f>
        <v>1</v>
      </c>
      <c r="M102" s="6">
        <f>VLOOKUP(K102,Sales_Data[[Product]:[Unit Price]],3,FALSE)</f>
        <v>15500</v>
      </c>
    </row>
    <row r="103" spans="1:13" x14ac:dyDescent="0.3">
      <c r="A103" t="s">
        <v>214</v>
      </c>
      <c r="B103" s="1">
        <v>46316</v>
      </c>
      <c r="C103" s="5" t="str">
        <f>PROPER(TRIM(Sales_Data[[#This Row],[Region]]))</f>
        <v>North</v>
      </c>
      <c r="D103" s="5" t="str">
        <f>PROPER(TRIM(Sales_Data[[#This Row],[Sales Rep]]))</f>
        <v>Rahul Singh</v>
      </c>
      <c r="E103" s="5" t="s">
        <v>13</v>
      </c>
      <c r="F103" s="5" t="str">
        <f>PROPER(TRIM(Sales_Data[[#This Row],[Product]]))</f>
        <v>Ergonomic Chair</v>
      </c>
      <c r="G103" s="2">
        <v>2</v>
      </c>
      <c r="H103" s="2">
        <v>7800</v>
      </c>
      <c r="I103" s="2">
        <v>15600</v>
      </c>
      <c r="K103" s="10" t="s">
        <v>131</v>
      </c>
      <c r="L103" s="6">
        <f>VLOOKUP(K103,Sales_Data[[Product]:[Unit Price]],2,FALSE)</f>
        <v>10</v>
      </c>
      <c r="M103" s="6">
        <f>VLOOKUP(K103,Sales_Data[[Product]:[Unit Price]],3,FALSE)</f>
        <v>180</v>
      </c>
    </row>
    <row r="104" spans="1:13" x14ac:dyDescent="0.3">
      <c r="A104" t="s">
        <v>215</v>
      </c>
      <c r="B104" s="1">
        <v>46317</v>
      </c>
      <c r="C104" s="5" t="str">
        <f>PROPER(TRIM(Sales_Data[[#This Row],[Region]]))</f>
        <v>East</v>
      </c>
      <c r="D104" s="5" t="str">
        <f>PROPER(TRIM(Sales_Data[[#This Row],[Sales Rep]]))</f>
        <v>Neha Patel</v>
      </c>
      <c r="E104" s="5" t="s">
        <v>10</v>
      </c>
      <c r="F104" s="5" t="str">
        <f>PROPER(TRIM(Sales_Data[[#This Row],[Product]]))</f>
        <v>Phone Charger</v>
      </c>
      <c r="G104" s="2">
        <v>10</v>
      </c>
      <c r="H104" s="2">
        <v>900</v>
      </c>
      <c r="I104" s="2">
        <v>9000</v>
      </c>
      <c r="K104" s="11" t="s">
        <v>134</v>
      </c>
      <c r="L104" s="6">
        <f>VLOOKUP(K104,Sales_Data[[Product]:[Unit Price]],2,FALSE)</f>
        <v>3</v>
      </c>
      <c r="M104" s="6">
        <f>VLOOKUP(K104,Sales_Data[[Product]:[Unit Price]],3,FALSE)</f>
        <v>7800</v>
      </c>
    </row>
    <row r="105" spans="1:13" x14ac:dyDescent="0.3">
      <c r="A105" t="s">
        <v>216</v>
      </c>
      <c r="B105" s="1">
        <v>46317</v>
      </c>
      <c r="C105" s="5" t="str">
        <f>PROPER(TRIM(Sales_Data[[#This Row],[Region]]))</f>
        <v>West</v>
      </c>
      <c r="D105" s="5" t="str">
        <f>PROPER(TRIM(Sales_Data[[#This Row],[Sales Rep]]))</f>
        <v>Amit Verma</v>
      </c>
      <c r="E105" s="5" t="s">
        <v>21</v>
      </c>
      <c r="F105" s="5" t="str">
        <f>PROPER(TRIM(Sales_Data[[#This Row],[Product]]))</f>
        <v>Scissors</v>
      </c>
      <c r="G105" s="2">
        <v>15</v>
      </c>
      <c r="H105" s="2">
        <v>140</v>
      </c>
      <c r="I105" s="2">
        <v>2100</v>
      </c>
      <c r="K105" s="10" t="s">
        <v>136</v>
      </c>
      <c r="L105" s="6">
        <f>VLOOKUP(K105,Sales_Data[[Product]:[Unit Price]],2,FALSE)</f>
        <v>7</v>
      </c>
      <c r="M105" s="6">
        <f>VLOOKUP(K105,Sales_Data[[Product]:[Unit Price]],3,FALSE)</f>
        <v>900</v>
      </c>
    </row>
    <row r="106" spans="1:13" x14ac:dyDescent="0.3">
      <c r="A106" t="s">
        <v>217</v>
      </c>
      <c r="B106" s="1">
        <v>46318</v>
      </c>
      <c r="C106" s="5" t="str">
        <f>PROPER(TRIM(Sales_Data[[#This Row],[Region]]))</f>
        <v>South</v>
      </c>
      <c r="D106" s="5" t="str">
        <f>PROPER(TRIM(Sales_Data[[#This Row],[Sales Rep]]))</f>
        <v>Kavya Mehta</v>
      </c>
      <c r="E106" s="5" t="s">
        <v>13</v>
      </c>
      <c r="F106" s="5" t="str">
        <f>PROPER(TRIM(Sales_Data[[#This Row],[Product]]))</f>
        <v>Visitor Sofa</v>
      </c>
      <c r="G106" s="2">
        <v>2</v>
      </c>
      <c r="H106" s="2">
        <v>12500</v>
      </c>
      <c r="I106" s="2">
        <v>25000</v>
      </c>
      <c r="K106" s="11" t="s">
        <v>139</v>
      </c>
      <c r="L106" s="6">
        <f>VLOOKUP(K106,Sales_Data[[Product]:[Unit Price]],2,FALSE)</f>
        <v>12</v>
      </c>
      <c r="M106" s="6">
        <f>VLOOKUP(K106,Sales_Data[[Product]:[Unit Price]],3,FALSE)</f>
        <v>140</v>
      </c>
    </row>
    <row r="107" spans="1:13" x14ac:dyDescent="0.3">
      <c r="A107" t="s">
        <v>218</v>
      </c>
      <c r="B107" s="1">
        <v>46318</v>
      </c>
      <c r="C107" s="5" t="str">
        <f>PROPER(TRIM(Sales_Data[[#This Row],[Region]]))</f>
        <v>North</v>
      </c>
      <c r="D107" s="5" t="str">
        <f>PROPER(TRIM(Sales_Data[[#This Row],[Sales Rep]]))</f>
        <v>Arun Reddy</v>
      </c>
      <c r="E107" s="5" t="s">
        <v>10</v>
      </c>
      <c r="F107" s="5" t="str">
        <f>PROPER(TRIM(Sales_Data[[#This Row],[Product]]))</f>
        <v>Desk Lamp</v>
      </c>
      <c r="G107" s="2">
        <v>8</v>
      </c>
      <c r="H107" s="2">
        <v>750</v>
      </c>
      <c r="I107" s="2">
        <v>6000</v>
      </c>
      <c r="K107" s="10" t="s">
        <v>141</v>
      </c>
      <c r="L107" s="6">
        <f>VLOOKUP(K107,Sales_Data[[Product]:[Unit Price]],2,FALSE)</f>
        <v>1</v>
      </c>
      <c r="M107" s="6">
        <f>VLOOKUP(K107,Sales_Data[[Product]:[Unit Price]],3,FALSE)</f>
        <v>12500</v>
      </c>
    </row>
    <row r="108" spans="1:13" x14ac:dyDescent="0.3">
      <c r="A108" t="s">
        <v>219</v>
      </c>
      <c r="B108" s="1">
        <v>46319</v>
      </c>
      <c r="C108" s="5" t="str">
        <f>PROPER(TRIM(Sales_Data[[#This Row],[Region]]))</f>
        <v>East</v>
      </c>
      <c r="D108" s="5" t="str">
        <f>PROPER(TRIM(Sales_Data[[#This Row],[Sales Rep]]))</f>
        <v>Rajesh Kumar</v>
      </c>
      <c r="E108" s="5" t="s">
        <v>21</v>
      </c>
      <c r="F108" s="5" t="str">
        <f>PROPER(TRIM(Sales_Data[[#This Row],[Product]]))</f>
        <v>Marker Set</v>
      </c>
      <c r="G108" s="2">
        <v>15</v>
      </c>
      <c r="H108" s="2">
        <v>220</v>
      </c>
      <c r="I108" s="2">
        <v>3300</v>
      </c>
      <c r="K108" s="11" t="s">
        <v>143</v>
      </c>
      <c r="L108" s="6">
        <f>VLOOKUP(K108,Sales_Data[[Product]:[Unit Price]],2,FALSE)</f>
        <v>6</v>
      </c>
      <c r="M108" s="6">
        <f>VLOOKUP(K108,Sales_Data[[Product]:[Unit Price]],3,FALSE)</f>
        <v>750</v>
      </c>
    </row>
    <row r="109" spans="1:13" x14ac:dyDescent="0.3">
      <c r="A109" t="s">
        <v>220</v>
      </c>
      <c r="B109" s="1">
        <v>46319</v>
      </c>
      <c r="C109" s="5" t="str">
        <f>PROPER(TRIM(Sales_Data[[#This Row],[Region]]))</f>
        <v>West</v>
      </c>
      <c r="D109" s="5" t="str">
        <f>PROPER(TRIM(Sales_Data[[#This Row],[Sales Rep]]))</f>
        <v>Sneha Rao</v>
      </c>
      <c r="E109" s="5" t="s">
        <v>13</v>
      </c>
      <c r="F109" s="5" t="str">
        <f>PROPER(TRIM(Sales_Data[[#This Row],[Product]]))</f>
        <v>Steel Cupboard</v>
      </c>
      <c r="G109" s="2">
        <v>1</v>
      </c>
      <c r="H109" s="2">
        <v>8900</v>
      </c>
      <c r="I109" s="2">
        <v>8900</v>
      </c>
      <c r="K109" s="10" t="s">
        <v>145</v>
      </c>
      <c r="L109" s="6">
        <f>VLOOKUP(K109,Sales_Data[[Product]:[Unit Price]],2,FALSE)</f>
        <v>10</v>
      </c>
      <c r="M109" s="6">
        <f>VLOOKUP(K109,Sales_Data[[Product]:[Unit Price]],3,FALSE)</f>
        <v>220</v>
      </c>
    </row>
    <row r="110" spans="1:13" x14ac:dyDescent="0.3">
      <c r="A110" t="s">
        <v>221</v>
      </c>
      <c r="B110" s="1">
        <v>46320</v>
      </c>
      <c r="C110" s="5" t="str">
        <f>PROPER(TRIM(Sales_Data[[#This Row],[Region]]))</f>
        <v>South</v>
      </c>
      <c r="D110" s="5" t="str">
        <f>PROPER(TRIM(Sales_Data[[#This Row],[Sales Rep]]))</f>
        <v>Anjali Singh</v>
      </c>
      <c r="E110" s="5" t="s">
        <v>10</v>
      </c>
      <c r="F110" s="5" t="str">
        <f>PROPER(TRIM(Sales_Data[[#This Row],[Product]]))</f>
        <v>Smart Watch</v>
      </c>
      <c r="G110" s="2">
        <v>4</v>
      </c>
      <c r="H110" s="2">
        <v>5500</v>
      </c>
      <c r="I110" s="2">
        <v>22000</v>
      </c>
      <c r="K110" s="11" t="s">
        <v>147</v>
      </c>
      <c r="L110" s="6">
        <f>VLOOKUP(K110,Sales_Data[[Product]:[Unit Price]],2,FALSE)</f>
        <v>2</v>
      </c>
      <c r="M110" s="6">
        <f>VLOOKUP(K110,Sales_Data[[Product]:[Unit Price]],3,FALSE)</f>
        <v>8900</v>
      </c>
    </row>
    <row r="111" spans="1:13" x14ac:dyDescent="0.3">
      <c r="A111" t="s">
        <v>222</v>
      </c>
      <c r="B111" s="1">
        <v>46320</v>
      </c>
      <c r="C111" s="5" t="str">
        <f>PROPER(TRIM(Sales_Data[[#This Row],[Region]]))</f>
        <v>North</v>
      </c>
      <c r="D111" s="5" t="str">
        <f>PROPER(TRIM(Sales_Data[[#This Row],[Sales Rep]]))</f>
        <v>Vikram Das</v>
      </c>
      <c r="E111" s="5" t="s">
        <v>21</v>
      </c>
      <c r="F111" s="5" t="str">
        <f>PROPER(TRIM(Sales_Data[[#This Row],[Product]]))</f>
        <v>Printer Paper</v>
      </c>
      <c r="G111" s="2">
        <v>40</v>
      </c>
      <c r="H111" s="2">
        <v>280</v>
      </c>
      <c r="I111" s="2">
        <v>11200</v>
      </c>
      <c r="K111" s="10" t="s">
        <v>149</v>
      </c>
      <c r="L111" s="6">
        <f>VLOOKUP(K111,Sales_Data[[Product]:[Unit Price]],2,FALSE)</f>
        <v>3</v>
      </c>
      <c r="M111" s="6">
        <f>VLOOKUP(K111,Sales_Data[[Product]:[Unit Price]],3,FALSE)</f>
        <v>5500</v>
      </c>
    </row>
    <row r="112" spans="1:13" x14ac:dyDescent="0.3">
      <c r="A112" t="s">
        <v>223</v>
      </c>
      <c r="B112" s="1">
        <v>46321</v>
      </c>
      <c r="C112" s="5" t="str">
        <f>PROPER(TRIM(Sales_Data[[#This Row],[Region]]))</f>
        <v>East</v>
      </c>
      <c r="D112" s="5" t="str">
        <f>PROPER(TRIM(Sales_Data[[#This Row],[Sales Rep]]))</f>
        <v>Pooja Nair</v>
      </c>
      <c r="E112" s="5" t="s">
        <v>13</v>
      </c>
      <c r="F112" s="5" t="str">
        <f>PROPER(TRIM(Sales_Data[[#This Row],[Product]]))</f>
        <v>Office Sofa</v>
      </c>
      <c r="G112" s="2">
        <v>1</v>
      </c>
      <c r="H112" s="2">
        <v>11500</v>
      </c>
      <c r="I112" s="2">
        <v>11500</v>
      </c>
      <c r="K112" s="11" t="s">
        <v>151</v>
      </c>
      <c r="L112" s="6">
        <f>VLOOKUP(K112,Sales_Data[[Product]:[Unit Price]],2,FALSE)</f>
        <v>30</v>
      </c>
      <c r="M112" s="6">
        <f>VLOOKUP(K112,Sales_Data[[Product]:[Unit Price]],3,FALSE)</f>
        <v>280</v>
      </c>
    </row>
    <row r="113" spans="1:13" x14ac:dyDescent="0.3">
      <c r="A113" t="s">
        <v>224</v>
      </c>
      <c r="B113" s="1">
        <v>46321</v>
      </c>
      <c r="C113" s="5" t="str">
        <f>PROPER(TRIM(Sales_Data[[#This Row],[Region]]))</f>
        <v>West</v>
      </c>
      <c r="D113" s="5" t="str">
        <f>PROPER(TRIM(Sales_Data[[#This Row],[Sales Rep]]))</f>
        <v>Ramesh Kumar</v>
      </c>
      <c r="E113" s="5" t="s">
        <v>10</v>
      </c>
      <c r="F113" s="5" t="str">
        <f>PROPER(TRIM(Sales_Data[[#This Row],[Product]]))</f>
        <v>Network Router</v>
      </c>
      <c r="G113" s="2">
        <v>5</v>
      </c>
      <c r="H113" s="2">
        <v>3200</v>
      </c>
      <c r="I113" s="2">
        <v>16000</v>
      </c>
      <c r="K113" s="10" t="s">
        <v>153</v>
      </c>
      <c r="L113" s="6">
        <f>VLOOKUP(K113,Sales_Data[[Product]:[Unit Price]],2,FALSE)</f>
        <v>2</v>
      </c>
      <c r="M113" s="6">
        <f>VLOOKUP(K113,Sales_Data[[Product]:[Unit Price]],3,FALSE)</f>
        <v>11500</v>
      </c>
    </row>
    <row r="114" spans="1:13" x14ac:dyDescent="0.3">
      <c r="A114" t="s">
        <v>225</v>
      </c>
      <c r="B114" s="1">
        <v>46322</v>
      </c>
      <c r="C114" s="5" t="str">
        <f>PROPER(TRIM(Sales_Data[[#This Row],[Region]]))</f>
        <v>South</v>
      </c>
      <c r="D114" s="5" t="str">
        <f>PROPER(TRIM(Sales_Data[[#This Row],[Sales Rep]]))</f>
        <v>Mahesh Reddy</v>
      </c>
      <c r="E114" s="5" t="s">
        <v>21</v>
      </c>
      <c r="F114" s="5" t="str">
        <f>PROPER(TRIM(Sales_Data[[#This Row],[Product]]))</f>
        <v>Binder Clips</v>
      </c>
      <c r="G114" s="2">
        <v>30</v>
      </c>
      <c r="H114" s="2">
        <v>45</v>
      </c>
      <c r="I114" s="2">
        <v>1350</v>
      </c>
      <c r="K114" s="11" t="s">
        <v>155</v>
      </c>
      <c r="L114" s="6">
        <f>VLOOKUP(K114,Sales_Data[[Product]:[Unit Price]],2,FALSE)</f>
        <v>4</v>
      </c>
      <c r="M114" s="6">
        <f>VLOOKUP(K114,Sales_Data[[Product]:[Unit Price]],3,FALSE)</f>
        <v>3200</v>
      </c>
    </row>
    <row r="115" spans="1:13" x14ac:dyDescent="0.3">
      <c r="A115" t="s">
        <v>226</v>
      </c>
      <c r="B115" s="1">
        <v>46322</v>
      </c>
      <c r="C115" s="5" t="str">
        <f>PROPER(TRIM(Sales_Data[[#This Row],[Region]]))</f>
        <v>North</v>
      </c>
      <c r="D115" s="5" t="str">
        <f>PROPER(TRIM(Sales_Data[[#This Row],[Sales Rep]]))</f>
        <v>Divya Patel</v>
      </c>
      <c r="E115" s="5" t="s">
        <v>13</v>
      </c>
      <c r="F115" s="5" t="str">
        <f>PROPER(TRIM(Sales_Data[[#This Row],[Product]]))</f>
        <v>Round Table</v>
      </c>
      <c r="G115" s="2">
        <v>3</v>
      </c>
      <c r="H115" s="2">
        <v>5600</v>
      </c>
      <c r="I115" s="2">
        <v>16800</v>
      </c>
      <c r="K115" s="10" t="s">
        <v>158</v>
      </c>
      <c r="L115" s="6">
        <f>VLOOKUP(K115,Sales_Data[[Product]:[Unit Price]],2,FALSE)</f>
        <v>20</v>
      </c>
      <c r="M115" s="6">
        <f>VLOOKUP(K115,Sales_Data[[Product]:[Unit Price]],3,FALSE)</f>
        <v>45</v>
      </c>
    </row>
    <row r="116" spans="1:13" x14ac:dyDescent="0.3">
      <c r="A116" t="s">
        <v>227</v>
      </c>
      <c r="B116" s="1">
        <v>46323</v>
      </c>
      <c r="C116" s="5" t="str">
        <f>PROPER(TRIM(Sales_Data[[#This Row],[Region]]))</f>
        <v>East</v>
      </c>
      <c r="D116" s="5" t="str">
        <f>PROPER(TRIM(Sales_Data[[#This Row],[Sales Rep]]))</f>
        <v>Karan Shah</v>
      </c>
      <c r="E116" s="5" t="s">
        <v>10</v>
      </c>
      <c r="F116" s="5" t="str">
        <f>PROPER(TRIM(Sales_Data[[#This Row],[Product]]))</f>
        <v>Desktop Computer</v>
      </c>
      <c r="G116" s="2">
        <v>2</v>
      </c>
      <c r="H116" s="2">
        <v>42000</v>
      </c>
      <c r="I116" s="2">
        <v>84000</v>
      </c>
      <c r="K116" s="11" t="s">
        <v>160</v>
      </c>
      <c r="L116" s="6">
        <f>VLOOKUP(K116,Sales_Data[[Product]:[Unit Price]],2,FALSE)</f>
        <v>2</v>
      </c>
      <c r="M116" s="6">
        <f>VLOOKUP(K116,Sales_Data[[Product]:[Unit Price]],3,FALSE)</f>
        <v>5600</v>
      </c>
    </row>
    <row r="117" spans="1:13" x14ac:dyDescent="0.3">
      <c r="A117" t="s">
        <v>228</v>
      </c>
      <c r="B117" s="1">
        <v>46323</v>
      </c>
      <c r="C117" s="5" t="str">
        <f>PROPER(TRIM(Sales_Data[[#This Row],[Region]]))</f>
        <v>West</v>
      </c>
      <c r="D117" s="5" t="str">
        <f>PROPER(TRIM(Sales_Data[[#This Row],[Sales Rep]]))</f>
        <v>Swathi Rao</v>
      </c>
      <c r="E117" s="5" t="s">
        <v>21</v>
      </c>
      <c r="F117" s="5" t="str">
        <f>PROPER(TRIM(Sales_Data[[#This Row],[Product]]))</f>
        <v>Notepad</v>
      </c>
      <c r="G117" s="2">
        <v>20</v>
      </c>
      <c r="H117" s="2">
        <v>90</v>
      </c>
      <c r="I117" s="2">
        <v>1800</v>
      </c>
      <c r="K117" s="10" t="s">
        <v>162</v>
      </c>
      <c r="L117" s="6">
        <f>VLOOKUP(K117,Sales_Data[[Product]:[Unit Price]],2,FALSE)</f>
        <v>1</v>
      </c>
      <c r="M117" s="6">
        <f>VLOOKUP(K117,Sales_Data[[Product]:[Unit Price]],3,FALSE)</f>
        <v>42000</v>
      </c>
    </row>
    <row r="118" spans="1:13" x14ac:dyDescent="0.3">
      <c r="A118" t="s">
        <v>229</v>
      </c>
      <c r="B118" s="1">
        <v>46324</v>
      </c>
      <c r="C118" s="5" t="str">
        <f>PROPER(TRIM(Sales_Data[[#This Row],[Region]]))</f>
        <v>South</v>
      </c>
      <c r="D118" s="5" t="str">
        <f>PROPER(TRIM(Sales_Data[[#This Row],[Sales Rep]]))</f>
        <v>Suresh Kumar</v>
      </c>
      <c r="E118" s="5" t="s">
        <v>13</v>
      </c>
      <c r="F118" s="5" t="str">
        <f>PROPER(TRIM(Sales_Data[[#This Row],[Product]]))</f>
        <v>Revolving Chair</v>
      </c>
      <c r="G118" s="2">
        <v>3</v>
      </c>
      <c r="H118" s="2">
        <v>3900</v>
      </c>
      <c r="I118" s="2">
        <v>11700</v>
      </c>
      <c r="K118" s="11" t="s">
        <v>164</v>
      </c>
      <c r="L118" s="6">
        <f>VLOOKUP(K118,Sales_Data[[Product]:[Unit Price]],2,FALSE)</f>
        <v>15</v>
      </c>
      <c r="M118" s="6">
        <f>VLOOKUP(K118,Sales_Data[[Product]:[Unit Price]],3,FALSE)</f>
        <v>90</v>
      </c>
    </row>
    <row r="119" spans="1:13" x14ac:dyDescent="0.3">
      <c r="A119" t="s">
        <v>230</v>
      </c>
      <c r="B119" s="1">
        <v>46324</v>
      </c>
      <c r="C119" s="5" t="str">
        <f>PROPER(TRIM(Sales_Data[[#This Row],[Region]]))</f>
        <v>North</v>
      </c>
      <c r="D119" s="5" t="str">
        <f>PROPER(TRIM(Sales_Data[[#This Row],[Sales Rep]]))</f>
        <v>Meena Devi</v>
      </c>
      <c r="E119" s="5" t="s">
        <v>10</v>
      </c>
      <c r="F119" s="5" t="str">
        <f>PROPER(TRIM(Sales_Data[[#This Row],[Product]]))</f>
        <v>Power Bank</v>
      </c>
      <c r="G119" s="2">
        <v>8</v>
      </c>
      <c r="H119" s="2">
        <v>1600</v>
      </c>
      <c r="I119" s="2">
        <v>12800</v>
      </c>
      <c r="K119" s="10" t="s">
        <v>166</v>
      </c>
      <c r="L119" s="6">
        <f>VLOOKUP(K119,Sales_Data[[Product]:[Unit Price]],2,FALSE)</f>
        <v>4</v>
      </c>
      <c r="M119" s="6">
        <f>VLOOKUP(K119,Sales_Data[[Product]:[Unit Price]],3,FALSE)</f>
        <v>3900</v>
      </c>
    </row>
    <row r="120" spans="1:13" x14ac:dyDescent="0.3">
      <c r="A120" t="s">
        <v>231</v>
      </c>
      <c r="B120" s="1">
        <v>46325</v>
      </c>
      <c r="C120" s="5" t="str">
        <f>PROPER(TRIM(Sales_Data[[#This Row],[Region]]))</f>
        <v>East</v>
      </c>
      <c r="D120" s="5" t="str">
        <f>PROPER(TRIM(Sales_Data[[#This Row],[Sales Rep]]))</f>
        <v>Ajay Verma</v>
      </c>
      <c r="E120" s="5" t="s">
        <v>21</v>
      </c>
      <c r="F120" s="5" t="str">
        <f>PROPER(TRIM(Sales_Data[[#This Row],[Product]]))</f>
        <v>Paper Clips</v>
      </c>
      <c r="G120" s="2">
        <v>40</v>
      </c>
      <c r="H120" s="2">
        <v>35</v>
      </c>
      <c r="I120" s="2">
        <v>1400</v>
      </c>
      <c r="K120" s="11" t="s">
        <v>168</v>
      </c>
      <c r="L120" s="6">
        <f>VLOOKUP(K120,Sales_Data[[Product]:[Unit Price]],2,FALSE)</f>
        <v>5</v>
      </c>
      <c r="M120" s="6">
        <f>VLOOKUP(K120,Sales_Data[[Product]:[Unit Price]],3,FALSE)</f>
        <v>1600</v>
      </c>
    </row>
    <row r="121" spans="1:13" x14ac:dyDescent="0.3">
      <c r="A121" t="s">
        <v>232</v>
      </c>
      <c r="B121" s="1">
        <v>46325</v>
      </c>
      <c r="C121" s="5" t="str">
        <f>PROPER(TRIM(Sales_Data[[#This Row],[Region]]))</f>
        <v>West</v>
      </c>
      <c r="D121" s="5" t="str">
        <f>PROPER(TRIM(Sales_Data[[#This Row],[Sales Rep]]))</f>
        <v>Ravi Nair</v>
      </c>
      <c r="E121" s="5" t="s">
        <v>13</v>
      </c>
      <c r="F121" s="5" t="str">
        <f>PROPER(TRIM(Sales_Data[[#This Row],[Product]]))</f>
        <v>Wooden Desk</v>
      </c>
      <c r="G121" s="2">
        <v>2</v>
      </c>
      <c r="H121" s="2">
        <v>9800</v>
      </c>
      <c r="I121" s="2">
        <v>19600</v>
      </c>
      <c r="K121" s="10" t="s">
        <v>170</v>
      </c>
      <c r="L121" s="6">
        <f>VLOOKUP(K121,Sales_Data[[Product]:[Unit Price]],2,FALSE)</f>
        <v>30</v>
      </c>
      <c r="M121" s="6">
        <f>VLOOKUP(K121,Sales_Data[[Product]:[Unit Price]],3,FALSE)</f>
        <v>35</v>
      </c>
    </row>
    <row r="122" spans="1:13" x14ac:dyDescent="0.3">
      <c r="A122" t="s">
        <v>233</v>
      </c>
      <c r="B122" s="1">
        <v>46326</v>
      </c>
      <c r="C122" s="5" t="str">
        <f>PROPER(TRIM(Sales_Data[[#This Row],[Region]]))</f>
        <v>South</v>
      </c>
      <c r="D122" s="5" t="str">
        <f>PROPER(TRIM(Sales_Data[[#This Row],[Sales Rep]]))</f>
        <v>Priya Sharma</v>
      </c>
      <c r="E122" s="5" t="s">
        <v>10</v>
      </c>
      <c r="F122" s="5" t="str">
        <f>PROPER(TRIM(Sales_Data[[#This Row],[Product]]))</f>
        <v>Wireless Mouse</v>
      </c>
      <c r="G122" s="2">
        <v>10</v>
      </c>
      <c r="H122" s="2">
        <v>650</v>
      </c>
      <c r="I122" s="2">
        <v>6500</v>
      </c>
      <c r="K122" s="11" t="s">
        <v>172</v>
      </c>
      <c r="L122" s="6">
        <f>VLOOKUP(K122,Sales_Data[[Product]:[Unit Price]],2,FALSE)</f>
        <v>1</v>
      </c>
      <c r="M122" s="6">
        <f>VLOOKUP(K122,Sales_Data[[Product]:[Unit Price]],3,FALSE)</f>
        <v>9800</v>
      </c>
    </row>
    <row r="123" spans="1:13" x14ac:dyDescent="0.3">
      <c r="A123" t="s">
        <v>234</v>
      </c>
      <c r="B123" s="1">
        <v>46326</v>
      </c>
      <c r="C123" s="5" t="str">
        <f>PROPER(TRIM(Sales_Data[[#This Row],[Region]]))</f>
        <v>North</v>
      </c>
      <c r="D123" s="5" t="str">
        <f>PROPER(TRIM(Sales_Data[[#This Row],[Sales Rep]]))</f>
        <v>Rahul Singh</v>
      </c>
      <c r="E123" s="5" t="s">
        <v>21</v>
      </c>
      <c r="F123" s="5" t="str">
        <f>PROPER(TRIM(Sales_Data[[#This Row],[Product]]))</f>
        <v>Notebook</v>
      </c>
      <c r="G123" s="2">
        <v>25</v>
      </c>
      <c r="H123" s="2">
        <v>120</v>
      </c>
      <c r="I123" s="2">
        <v>3000</v>
      </c>
      <c r="K123" s="10" t="s">
        <v>18</v>
      </c>
      <c r="L123" s="6">
        <f>VLOOKUP(K123,Sales_Data[[Product]:[Unit Price]],2,FALSE)</f>
        <v>4</v>
      </c>
      <c r="M123" s="6">
        <f>VLOOKUP(K123,Sales_Data[[Product]:[Unit Price]],3,FALSE)</f>
        <v>650</v>
      </c>
    </row>
    <row r="124" spans="1:13" x14ac:dyDescent="0.3">
      <c r="A124" t="s">
        <v>235</v>
      </c>
      <c r="B124" s="1">
        <v>46327</v>
      </c>
      <c r="C124" s="5" t="str">
        <f>PROPER(TRIM(Sales_Data[[#This Row],[Region]]))</f>
        <v>East</v>
      </c>
      <c r="D124" s="5" t="str">
        <f>PROPER(TRIM(Sales_Data[[#This Row],[Sales Rep]]))</f>
        <v>Neha Patel</v>
      </c>
      <c r="E124" s="5" t="s">
        <v>13</v>
      </c>
      <c r="F124" s="5" t="str">
        <f>PROPER(TRIM(Sales_Data[[#This Row],[Product]]))</f>
        <v>Office Chair</v>
      </c>
      <c r="G124" s="2">
        <v>2</v>
      </c>
      <c r="H124" s="2">
        <v>4500</v>
      </c>
      <c r="I124" s="2">
        <v>9000</v>
      </c>
      <c r="K124" s="11" t="s">
        <v>22</v>
      </c>
      <c r="L124" s="6">
        <f>VLOOKUP(K124,Sales_Data[[Product]:[Unit Price]],2,FALSE)</f>
        <v>10</v>
      </c>
      <c r="M124" s="6">
        <f>VLOOKUP(K124,Sales_Data[[Product]:[Unit Price]],3,FALSE)</f>
        <v>120</v>
      </c>
    </row>
    <row r="125" spans="1:13" x14ac:dyDescent="0.3">
      <c r="A125" t="s">
        <v>236</v>
      </c>
      <c r="B125" s="1">
        <v>46327</v>
      </c>
      <c r="C125" s="5" t="str">
        <f>PROPER(TRIM(Sales_Data[[#This Row],[Region]]))</f>
        <v>West</v>
      </c>
      <c r="D125" s="5" t="str">
        <f>PROPER(TRIM(Sales_Data[[#This Row],[Sales Rep]]))</f>
        <v>Amit Verma</v>
      </c>
      <c r="E125" s="5" t="s">
        <v>10</v>
      </c>
      <c r="F125" s="5" t="str">
        <f>PROPER(TRIM(Sales_Data[[#This Row],[Product]]))</f>
        <v>Keyboard</v>
      </c>
      <c r="G125" s="2">
        <v>7</v>
      </c>
      <c r="H125" s="2">
        <v>850</v>
      </c>
      <c r="I125" s="2">
        <v>5950</v>
      </c>
      <c r="K125" s="10" t="s">
        <v>26</v>
      </c>
      <c r="L125" s="6">
        <f>VLOOKUP(K125,Sales_Data[[Product]:[Unit Price]],2,FALSE)</f>
        <v>2</v>
      </c>
      <c r="M125" s="6">
        <f>VLOOKUP(K125,Sales_Data[[Product]:[Unit Price]],3,FALSE)</f>
        <v>4500</v>
      </c>
    </row>
    <row r="126" spans="1:13" x14ac:dyDescent="0.3">
      <c r="A126" t="s">
        <v>237</v>
      </c>
      <c r="B126" s="1">
        <v>46328</v>
      </c>
      <c r="C126" s="5" t="str">
        <f>PROPER(TRIM(Sales_Data[[#This Row],[Region]]))</f>
        <v>South</v>
      </c>
      <c r="D126" s="5" t="str">
        <f>PROPER(TRIM(Sales_Data[[#This Row],[Sales Rep]]))</f>
        <v>Kavya Mehta</v>
      </c>
      <c r="E126" s="5" t="s">
        <v>21</v>
      </c>
      <c r="F126" s="5" t="str">
        <f>PROPER(TRIM(Sales_Data[[#This Row],[Product]]))</f>
        <v>Pen Set</v>
      </c>
      <c r="G126" s="2">
        <v>30</v>
      </c>
      <c r="H126" s="2">
        <v>80</v>
      </c>
      <c r="I126" s="2">
        <v>2400</v>
      </c>
      <c r="K126" s="11" t="s">
        <v>30</v>
      </c>
      <c r="L126" s="6">
        <f>VLOOKUP(K126,Sales_Data[[Product]:[Unit Price]],2,FALSE)</f>
        <v>5</v>
      </c>
      <c r="M126" s="6">
        <f>VLOOKUP(K126,Sales_Data[[Product]:[Unit Price]],3,FALSE)</f>
        <v>850</v>
      </c>
    </row>
    <row r="127" spans="1:13" x14ac:dyDescent="0.3">
      <c r="A127" t="s">
        <v>238</v>
      </c>
      <c r="B127" s="1">
        <v>46328</v>
      </c>
      <c r="C127" s="5" t="str">
        <f>PROPER(TRIM(Sales_Data[[#This Row],[Region]]))</f>
        <v>North</v>
      </c>
      <c r="D127" s="5" t="str">
        <f>PROPER(TRIM(Sales_Data[[#This Row],[Sales Rep]]))</f>
        <v>Arun Reddy</v>
      </c>
      <c r="E127" s="5" t="s">
        <v>13</v>
      </c>
      <c r="F127" s="5" t="str">
        <f>PROPER(TRIM(Sales_Data[[#This Row],[Product]]))</f>
        <v>Office Table</v>
      </c>
      <c r="G127" s="2">
        <v>1</v>
      </c>
      <c r="H127" s="2">
        <v>7500</v>
      </c>
      <c r="I127" s="2">
        <v>7500</v>
      </c>
      <c r="K127" s="10" t="s">
        <v>33</v>
      </c>
      <c r="L127" s="6">
        <f>VLOOKUP(K127,Sales_Data[[Product]:[Unit Price]],2,FALSE)</f>
        <v>15</v>
      </c>
      <c r="M127" s="6">
        <f>VLOOKUP(K127,Sales_Data[[Product]:[Unit Price]],3,FALSE)</f>
        <v>80</v>
      </c>
    </row>
    <row r="128" spans="1:13" x14ac:dyDescent="0.3">
      <c r="A128" t="s">
        <v>239</v>
      </c>
      <c r="B128" s="1">
        <v>46329</v>
      </c>
      <c r="C128" s="5" t="str">
        <f>PROPER(TRIM(Sales_Data[[#This Row],[Region]]))</f>
        <v>East</v>
      </c>
      <c r="D128" s="5" t="str">
        <f>PROPER(TRIM(Sales_Data[[#This Row],[Sales Rep]]))</f>
        <v>Rajesh Kumar</v>
      </c>
      <c r="E128" s="5" t="s">
        <v>10</v>
      </c>
      <c r="F128" s="5" t="str">
        <f>PROPER(TRIM(Sales_Data[[#This Row],[Product]]))</f>
        <v>Monitor</v>
      </c>
      <c r="G128" s="2">
        <v>4</v>
      </c>
      <c r="H128" s="2">
        <v>12500</v>
      </c>
      <c r="I128" s="2">
        <v>50000</v>
      </c>
      <c r="K128" s="11" t="s">
        <v>37</v>
      </c>
      <c r="L128" s="6">
        <f>VLOOKUP(K128,Sales_Data[[Product]:[Unit Price]],2,FALSE)</f>
        <v>1</v>
      </c>
      <c r="M128" s="6">
        <f>VLOOKUP(K128,Sales_Data[[Product]:[Unit Price]],3,FALSE)</f>
        <v>7500</v>
      </c>
    </row>
    <row r="129" spans="1:13" x14ac:dyDescent="0.3">
      <c r="A129" t="s">
        <v>240</v>
      </c>
      <c r="B129" s="1">
        <v>46329</v>
      </c>
      <c r="C129" s="5" t="str">
        <f>PROPER(TRIM(Sales_Data[[#This Row],[Region]]))</f>
        <v>West</v>
      </c>
      <c r="D129" s="5" t="str">
        <f>PROPER(TRIM(Sales_Data[[#This Row],[Sales Rep]]))</f>
        <v>Sneha Rao</v>
      </c>
      <c r="E129" s="5" t="s">
        <v>21</v>
      </c>
      <c r="F129" s="5" t="str">
        <f>PROPER(TRIM(Sales_Data[[#This Row],[Product]]))</f>
        <v>File Folder</v>
      </c>
      <c r="G129" s="2">
        <v>25</v>
      </c>
      <c r="H129" s="2">
        <v>60</v>
      </c>
      <c r="I129" s="2">
        <v>1500</v>
      </c>
      <c r="K129" s="10" t="s">
        <v>50</v>
      </c>
      <c r="L129" s="6">
        <f>VLOOKUP(K129,Sales_Data[[Product]:[Unit Price]],2,FALSE)</f>
        <v>3</v>
      </c>
      <c r="M129" s="6">
        <f>VLOOKUP(K129,Sales_Data[[Product]:[Unit Price]],3,FALSE)</f>
        <v>12500</v>
      </c>
    </row>
    <row r="130" spans="1:13" x14ac:dyDescent="0.3">
      <c r="A130" t="s">
        <v>241</v>
      </c>
      <c r="B130" s="1">
        <v>46330</v>
      </c>
      <c r="C130" s="5" t="str">
        <f>PROPER(TRIM(Sales_Data[[#This Row],[Region]]))</f>
        <v>South</v>
      </c>
      <c r="D130" s="5" t="str">
        <f>PROPER(TRIM(Sales_Data[[#This Row],[Sales Rep]]))</f>
        <v>Anjali Singh</v>
      </c>
      <c r="E130" s="5" t="s">
        <v>13</v>
      </c>
      <c r="F130" s="5" t="str">
        <f>PROPER(TRIM(Sales_Data[[#This Row],[Product]]))</f>
        <v>Bookshelf</v>
      </c>
      <c r="G130" s="2">
        <v>2</v>
      </c>
      <c r="H130" s="2">
        <v>5200</v>
      </c>
      <c r="I130" s="2">
        <v>10400</v>
      </c>
      <c r="K130" s="11" t="s">
        <v>44</v>
      </c>
      <c r="L130" s="6">
        <f>VLOOKUP(K130,Sales_Data[[Product]:[Unit Price]],2,FALSE)</f>
        <v>20</v>
      </c>
      <c r="M130" s="6">
        <f>VLOOKUP(K130,Sales_Data[[Product]:[Unit Price]],3,FALSE)</f>
        <v>60</v>
      </c>
    </row>
    <row r="131" spans="1:13" x14ac:dyDescent="0.3">
      <c r="A131" t="s">
        <v>242</v>
      </c>
      <c r="B131" s="1">
        <v>46330</v>
      </c>
      <c r="C131" s="5" t="str">
        <f>PROPER(TRIM(Sales_Data[[#This Row],[Region]]))</f>
        <v>North</v>
      </c>
      <c r="D131" s="5" t="str">
        <f>PROPER(TRIM(Sales_Data[[#This Row],[Sales Rep]]))</f>
        <v>Vikram Das</v>
      </c>
      <c r="E131" s="5" t="s">
        <v>10</v>
      </c>
      <c r="F131" s="5" t="str">
        <f>PROPER(TRIM(Sales_Data[[#This Row],[Product]]))</f>
        <v>Headphones</v>
      </c>
      <c r="G131" s="2">
        <v>6</v>
      </c>
      <c r="H131" s="2">
        <v>1800</v>
      </c>
      <c r="I131" s="2">
        <v>10800</v>
      </c>
      <c r="K131" s="10" t="s">
        <v>47</v>
      </c>
      <c r="L131" s="6">
        <f>VLOOKUP(K131,Sales_Data[[Product]:[Unit Price]],2,FALSE)</f>
        <v>2</v>
      </c>
      <c r="M131" s="6">
        <f>VLOOKUP(K131,Sales_Data[[Product]:[Unit Price]],3,FALSE)</f>
        <v>5200</v>
      </c>
    </row>
    <row r="132" spans="1:13" x14ac:dyDescent="0.3">
      <c r="A132" t="s">
        <v>243</v>
      </c>
      <c r="B132" s="1">
        <v>46331</v>
      </c>
      <c r="C132" s="5" t="str">
        <f>PROPER(TRIM(Sales_Data[[#This Row],[Region]]))</f>
        <v>East</v>
      </c>
      <c r="D132" s="5" t="str">
        <f>PROPER(TRIM(Sales_Data[[#This Row],[Sales Rep]]))</f>
        <v>Pooja Nair</v>
      </c>
      <c r="E132" s="5" t="s">
        <v>21</v>
      </c>
      <c r="F132" s="5" t="str">
        <f>PROPER(TRIM(Sales_Data[[#This Row],[Product]]))</f>
        <v>Stapler</v>
      </c>
      <c r="G132" s="2">
        <v>12</v>
      </c>
      <c r="H132" s="2">
        <v>180</v>
      </c>
      <c r="I132" s="2">
        <v>2160</v>
      </c>
      <c r="K132" s="11" t="s">
        <v>61</v>
      </c>
      <c r="L132" s="6">
        <f>VLOOKUP(K132,Sales_Data[[Product]:[Unit Price]],2,FALSE)</f>
        <v>4</v>
      </c>
      <c r="M132" s="6">
        <f>VLOOKUP(K132,Sales_Data[[Product]:[Unit Price]],3,FALSE)</f>
        <v>1800</v>
      </c>
    </row>
    <row r="133" spans="1:13" x14ac:dyDescent="0.3">
      <c r="A133" t="s">
        <v>244</v>
      </c>
      <c r="B133" s="1">
        <v>46331</v>
      </c>
      <c r="C133" s="5" t="str">
        <f>PROPER(TRIM(Sales_Data[[#This Row],[Region]]))</f>
        <v>West</v>
      </c>
      <c r="D133" s="5" t="str">
        <f>PROPER(TRIM(Sales_Data[[#This Row],[Sales Rep]]))</f>
        <v>Ramesh Kumar</v>
      </c>
      <c r="E133" s="5" t="s">
        <v>13</v>
      </c>
      <c r="F133" s="5" t="str">
        <f>PROPER(TRIM(Sales_Data[[#This Row],[Product]]))</f>
        <v>Visitor Chair</v>
      </c>
      <c r="G133" s="2">
        <v>5</v>
      </c>
      <c r="H133" s="2">
        <v>2200</v>
      </c>
      <c r="I133" s="2">
        <v>11000</v>
      </c>
      <c r="K133" s="10" t="s">
        <v>54</v>
      </c>
      <c r="L133" s="6">
        <f>VLOOKUP(K133,Sales_Data[[Product]:[Unit Price]],2,FALSE)</f>
        <v>7</v>
      </c>
      <c r="M133" s="6">
        <f>VLOOKUP(K133,Sales_Data[[Product]:[Unit Price]],3,FALSE)</f>
        <v>180</v>
      </c>
    </row>
    <row r="134" spans="1:13" x14ac:dyDescent="0.3">
      <c r="A134" t="s">
        <v>245</v>
      </c>
      <c r="B134" s="1">
        <v>46332</v>
      </c>
      <c r="C134" s="5" t="str">
        <f>PROPER(TRIM(Sales_Data[[#This Row],[Region]]))</f>
        <v>South</v>
      </c>
      <c r="D134" s="5" t="str">
        <f>PROPER(TRIM(Sales_Data[[#This Row],[Sales Rep]]))</f>
        <v>Mahesh Reddy</v>
      </c>
      <c r="E134" s="5" t="s">
        <v>10</v>
      </c>
      <c r="F134" s="5" t="str">
        <f>PROPER(TRIM(Sales_Data[[#This Row],[Product]]))</f>
        <v>Usb Cable</v>
      </c>
      <c r="G134" s="2">
        <v>20</v>
      </c>
      <c r="H134" s="2">
        <v>300</v>
      </c>
      <c r="I134" s="2">
        <v>6000</v>
      </c>
      <c r="K134" s="11" t="s">
        <v>57</v>
      </c>
      <c r="L134" s="6">
        <f>VLOOKUP(K134,Sales_Data[[Product]:[Unit Price]],2,FALSE)</f>
        <v>6</v>
      </c>
      <c r="M134" s="6">
        <f>VLOOKUP(K134,Sales_Data[[Product]:[Unit Price]],3,FALSE)</f>
        <v>2200</v>
      </c>
    </row>
    <row r="135" spans="1:13" x14ac:dyDescent="0.3">
      <c r="A135" t="s">
        <v>246</v>
      </c>
      <c r="B135" s="1">
        <v>46332</v>
      </c>
      <c r="C135" s="5" t="str">
        <f>PROPER(TRIM(Sales_Data[[#This Row],[Region]]))</f>
        <v>North</v>
      </c>
      <c r="D135" s="5" t="str">
        <f>PROPER(TRIM(Sales_Data[[#This Row],[Sales Rep]]))</f>
        <v>Divya Patel</v>
      </c>
      <c r="E135" s="5" t="s">
        <v>21</v>
      </c>
      <c r="F135" s="5" t="str">
        <f>PROPER(TRIM(Sales_Data[[#This Row],[Product]]))</f>
        <v>Whiteboard</v>
      </c>
      <c r="G135" s="2">
        <v>2</v>
      </c>
      <c r="H135" s="2">
        <v>2500</v>
      </c>
      <c r="I135" s="2">
        <v>5000</v>
      </c>
      <c r="K135" s="10" t="s">
        <v>40</v>
      </c>
      <c r="L135" s="6">
        <f>VLOOKUP(K135,Sales_Data[[Product]:[Unit Price]],2,FALSE)</f>
        <v>8</v>
      </c>
      <c r="M135" s="6">
        <f>VLOOKUP(K135,Sales_Data[[Product]:[Unit Price]],3,FALSE)</f>
        <v>300</v>
      </c>
    </row>
    <row r="136" spans="1:13" x14ac:dyDescent="0.3">
      <c r="A136" t="s">
        <v>247</v>
      </c>
      <c r="B136" s="1">
        <v>46333</v>
      </c>
      <c r="C136" s="5" t="str">
        <f>PROPER(TRIM(Sales_Data[[#This Row],[Region]]))</f>
        <v>East</v>
      </c>
      <c r="D136" s="5" t="str">
        <f>PROPER(TRIM(Sales_Data[[#This Row],[Sales Rep]]))</f>
        <v>Karan Shah</v>
      </c>
      <c r="E136" s="5" t="s">
        <v>13</v>
      </c>
      <c r="F136" s="5" t="str">
        <f>PROPER(TRIM(Sales_Data[[#This Row],[Product]]))</f>
        <v>Filing Cabinet</v>
      </c>
      <c r="G136" s="2">
        <v>3</v>
      </c>
      <c r="H136" s="2">
        <v>6800</v>
      </c>
      <c r="I136" s="2">
        <v>20400</v>
      </c>
      <c r="K136" s="11" t="s">
        <v>64</v>
      </c>
      <c r="L136" s="6">
        <f>VLOOKUP(K136,Sales_Data[[Product]:[Unit Price]],2,FALSE)</f>
        <v>2</v>
      </c>
      <c r="M136" s="6">
        <f>VLOOKUP(K136,Sales_Data[[Product]:[Unit Price]],3,FALSE)</f>
        <v>2500</v>
      </c>
    </row>
    <row r="137" spans="1:13" x14ac:dyDescent="0.3">
      <c r="A137" t="s">
        <v>248</v>
      </c>
      <c r="B137" s="1">
        <v>46333</v>
      </c>
      <c r="C137" s="5" t="str">
        <f>PROPER(TRIM(Sales_Data[[#This Row],[Region]]))</f>
        <v>West</v>
      </c>
      <c r="D137" s="5" t="str">
        <f>PROPER(TRIM(Sales_Data[[#This Row],[Sales Rep]]))</f>
        <v>Swathi Rao</v>
      </c>
      <c r="E137" s="5" t="s">
        <v>10</v>
      </c>
      <c r="F137" s="5" t="str">
        <f>PROPER(TRIM(Sales_Data[[#This Row],[Product]]))</f>
        <v>Webcam</v>
      </c>
      <c r="G137" s="2">
        <v>2</v>
      </c>
      <c r="H137" s="2">
        <v>3200</v>
      </c>
      <c r="I137" s="2">
        <v>6400</v>
      </c>
      <c r="K137" s="10" t="s">
        <v>67</v>
      </c>
      <c r="L137" s="6">
        <f>VLOOKUP(K137,Sales_Data[[Product]:[Unit Price]],2,FALSE)</f>
        <v>2</v>
      </c>
      <c r="M137" s="6">
        <f>VLOOKUP(K137,Sales_Data[[Product]:[Unit Price]],3,FALSE)</f>
        <v>6800</v>
      </c>
    </row>
    <row r="138" spans="1:13" x14ac:dyDescent="0.3">
      <c r="A138" t="s">
        <v>249</v>
      </c>
      <c r="B138" s="1">
        <v>46334</v>
      </c>
      <c r="C138" s="5" t="str">
        <f>PROPER(TRIM(Sales_Data[[#This Row],[Region]]))</f>
        <v>South</v>
      </c>
      <c r="D138" s="5" t="str">
        <f>PROPER(TRIM(Sales_Data[[#This Row],[Sales Rep]]))</f>
        <v>Suresh Kumar</v>
      </c>
      <c r="E138" s="5" t="s">
        <v>21</v>
      </c>
      <c r="F138" s="5" t="str">
        <f>PROPER(TRIM(Sales_Data[[#This Row],[Product]]))</f>
        <v>Calculator</v>
      </c>
      <c r="G138" s="2">
        <v>10</v>
      </c>
      <c r="H138" s="2">
        <v>450</v>
      </c>
      <c r="I138" s="2">
        <v>4500</v>
      </c>
      <c r="K138" s="11" t="s">
        <v>70</v>
      </c>
      <c r="L138" s="6">
        <f>VLOOKUP(K138,Sales_Data[[Product]:[Unit Price]],2,FALSE)</f>
        <v>3</v>
      </c>
      <c r="M138" s="6">
        <f>VLOOKUP(K138,Sales_Data[[Product]:[Unit Price]],3,FALSE)</f>
        <v>3200</v>
      </c>
    </row>
    <row r="139" spans="1:13" x14ac:dyDescent="0.3">
      <c r="A139" t="s">
        <v>250</v>
      </c>
      <c r="B139" s="1">
        <v>46334</v>
      </c>
      <c r="C139" s="5" t="str">
        <f>PROPER(TRIM(Sales_Data[[#This Row],[Region]]))</f>
        <v>North</v>
      </c>
      <c r="D139" s="5" t="str">
        <f>PROPER(TRIM(Sales_Data[[#This Row],[Sales Rep]]))</f>
        <v>Meena Devi</v>
      </c>
      <c r="E139" s="5" t="s">
        <v>13</v>
      </c>
      <c r="F139" s="5" t="str">
        <f>PROPER(TRIM(Sales_Data[[#This Row],[Product]]))</f>
        <v>Conference Table</v>
      </c>
      <c r="G139" s="2">
        <v>1</v>
      </c>
      <c r="H139" s="2">
        <v>14500</v>
      </c>
      <c r="I139" s="2">
        <v>14500</v>
      </c>
      <c r="K139" s="10" t="s">
        <v>73</v>
      </c>
      <c r="L139" s="6">
        <f>VLOOKUP(K139,Sales_Data[[Product]:[Unit Price]],2,FALSE)</f>
        <v>5</v>
      </c>
      <c r="M139" s="6">
        <f>VLOOKUP(K139,Sales_Data[[Product]:[Unit Price]],3,FALSE)</f>
        <v>450</v>
      </c>
    </row>
    <row r="140" spans="1:13" x14ac:dyDescent="0.3">
      <c r="A140" t="s">
        <v>251</v>
      </c>
      <c r="B140" s="1">
        <v>46335</v>
      </c>
      <c r="C140" s="5" t="str">
        <f>PROPER(TRIM(Sales_Data[[#This Row],[Region]]))</f>
        <v>East</v>
      </c>
      <c r="D140" s="5" t="str">
        <f>PROPER(TRIM(Sales_Data[[#This Row],[Sales Rep]]))</f>
        <v>Ajay Verma</v>
      </c>
      <c r="E140" s="5" t="s">
        <v>10</v>
      </c>
      <c r="F140" s="5" t="str">
        <f>PROPER(TRIM(Sales_Data[[#This Row],[Product]]))</f>
        <v>Printer</v>
      </c>
      <c r="G140" s="2">
        <v>2</v>
      </c>
      <c r="H140" s="2">
        <v>8500</v>
      </c>
      <c r="I140" s="2">
        <v>17000</v>
      </c>
      <c r="K140" s="11" t="s">
        <v>76</v>
      </c>
      <c r="L140" s="6">
        <f>VLOOKUP(K140,Sales_Data[[Product]:[Unit Price]],2,FALSE)</f>
        <v>1</v>
      </c>
      <c r="M140" s="6">
        <f>VLOOKUP(K140,Sales_Data[[Product]:[Unit Price]],3,FALSE)</f>
        <v>14500</v>
      </c>
    </row>
    <row r="141" spans="1:13" x14ac:dyDescent="0.3">
      <c r="A141" t="s">
        <v>252</v>
      </c>
      <c r="B141" s="1">
        <v>46335</v>
      </c>
      <c r="C141" s="5" t="str">
        <f>PROPER(TRIM(Sales_Data[[#This Row],[Region]]))</f>
        <v>West</v>
      </c>
      <c r="D141" s="5" t="str">
        <f>PROPER(TRIM(Sales_Data[[#This Row],[Sales Rep]]))</f>
        <v>Ravi Nair</v>
      </c>
      <c r="E141" s="5" t="s">
        <v>21</v>
      </c>
      <c r="F141" s="5" t="str">
        <f>PROPER(TRIM(Sales_Data[[#This Row],[Product]]))</f>
        <v>Diary</v>
      </c>
      <c r="G141" s="2">
        <v>15</v>
      </c>
      <c r="H141" s="2">
        <v>250</v>
      </c>
      <c r="I141" s="2">
        <v>3750</v>
      </c>
      <c r="K141" s="10" t="s">
        <v>79</v>
      </c>
      <c r="L141" s="6">
        <f>VLOOKUP(K141,Sales_Data[[Product]:[Unit Price]],2,FALSE)</f>
        <v>2</v>
      </c>
      <c r="M141" s="6">
        <f>VLOOKUP(K141,Sales_Data[[Product]:[Unit Price]],3,FALSE)</f>
        <v>8500</v>
      </c>
    </row>
    <row r="142" spans="1:13" x14ac:dyDescent="0.3">
      <c r="A142" t="s">
        <v>253</v>
      </c>
      <c r="B142" s="1">
        <v>46336</v>
      </c>
      <c r="C142" s="5" t="str">
        <f>PROPER(TRIM(Sales_Data[[#This Row],[Region]]))</f>
        <v>South</v>
      </c>
      <c r="D142" s="5" t="str">
        <f>PROPER(TRIM(Sales_Data[[#This Row],[Sales Rep]]))</f>
        <v>Priya Sharma</v>
      </c>
      <c r="E142" s="5" t="s">
        <v>13</v>
      </c>
      <c r="F142" s="5" t="str">
        <f>PROPER(TRIM(Sales_Data[[#This Row],[Product]]))</f>
        <v>Executive Chair</v>
      </c>
      <c r="G142" s="2">
        <v>2</v>
      </c>
      <c r="H142" s="2">
        <v>8500</v>
      </c>
      <c r="I142" s="2">
        <v>17000</v>
      </c>
      <c r="K142" s="11" t="s">
        <v>82</v>
      </c>
      <c r="L142" s="6">
        <f>VLOOKUP(K142,Sales_Data[[Product]:[Unit Price]],2,FALSE)</f>
        <v>12</v>
      </c>
      <c r="M142" s="6">
        <f>VLOOKUP(K142,Sales_Data[[Product]:[Unit Price]],3,FALSE)</f>
        <v>250</v>
      </c>
    </row>
    <row r="143" spans="1:13" x14ac:dyDescent="0.3">
      <c r="A143" t="s">
        <v>254</v>
      </c>
      <c r="B143" s="1">
        <v>46336</v>
      </c>
      <c r="C143" s="5" t="str">
        <f>PROPER(TRIM(Sales_Data[[#This Row],[Region]]))</f>
        <v>North</v>
      </c>
      <c r="D143" s="5" t="str">
        <f>PROPER(TRIM(Sales_Data[[#This Row],[Sales Rep]]))</f>
        <v>Rahul Singh</v>
      </c>
      <c r="E143" s="5" t="s">
        <v>10</v>
      </c>
      <c r="F143" s="5" t="str">
        <f>PROPER(TRIM(Sales_Data[[#This Row],[Product]]))</f>
        <v>Laptop Stand</v>
      </c>
      <c r="G143" s="2">
        <v>5</v>
      </c>
      <c r="H143" s="2">
        <v>2200</v>
      </c>
      <c r="I143" s="2">
        <v>11000</v>
      </c>
      <c r="K143" s="10" t="s">
        <v>84</v>
      </c>
      <c r="L143" s="6">
        <f>VLOOKUP(K143,Sales_Data[[Product]:[Unit Price]],2,FALSE)</f>
        <v>2</v>
      </c>
      <c r="M143" s="6">
        <f>VLOOKUP(K143,Sales_Data[[Product]:[Unit Price]],3,FALSE)</f>
        <v>8500</v>
      </c>
    </row>
    <row r="144" spans="1:13" x14ac:dyDescent="0.3">
      <c r="A144" t="s">
        <v>255</v>
      </c>
      <c r="B144" s="1">
        <v>46337</v>
      </c>
      <c r="C144" s="5" t="str">
        <f>PROPER(TRIM(Sales_Data[[#This Row],[Region]]))</f>
        <v>East</v>
      </c>
      <c r="D144" s="5" t="str">
        <f>PROPER(TRIM(Sales_Data[[#This Row],[Sales Rep]]))</f>
        <v>Neha Patel</v>
      </c>
      <c r="E144" s="5" t="s">
        <v>21</v>
      </c>
      <c r="F144" s="5" t="str">
        <f>PROPER(TRIM(Sales_Data[[#This Row],[Product]]))</f>
        <v>Highlighter</v>
      </c>
      <c r="G144" s="2">
        <v>20</v>
      </c>
      <c r="H144" s="2">
        <v>70</v>
      </c>
      <c r="I144" s="2">
        <v>1400</v>
      </c>
      <c r="K144" s="11" t="s">
        <v>86</v>
      </c>
      <c r="L144" s="6">
        <f>VLOOKUP(K144,Sales_Data[[Product]:[Unit Price]],2,FALSE)</f>
        <v>4</v>
      </c>
      <c r="M144" s="6">
        <f>VLOOKUP(K144,Sales_Data[[Product]:[Unit Price]],3,FALSE)</f>
        <v>2200</v>
      </c>
    </row>
    <row r="145" spans="1:13" x14ac:dyDescent="0.3">
      <c r="A145" t="s">
        <v>256</v>
      </c>
      <c r="B145" s="1">
        <v>46337</v>
      </c>
      <c r="C145" s="5" t="str">
        <f>PROPER(TRIM(Sales_Data[[#This Row],[Region]]))</f>
        <v>West</v>
      </c>
      <c r="D145" s="5" t="str">
        <f>PROPER(TRIM(Sales_Data[[#This Row],[Sales Rep]]))</f>
        <v>Amit Verma</v>
      </c>
      <c r="E145" s="5" t="s">
        <v>13</v>
      </c>
      <c r="F145" s="5" t="str">
        <f>PROPER(TRIM(Sales_Data[[#This Row],[Product]]))</f>
        <v>Desk</v>
      </c>
      <c r="G145" s="2">
        <v>2</v>
      </c>
      <c r="H145" s="2">
        <v>9200</v>
      </c>
      <c r="I145" s="2">
        <v>18400</v>
      </c>
      <c r="K145" s="10" t="s">
        <v>88</v>
      </c>
      <c r="L145" s="6">
        <f>VLOOKUP(K145,Sales_Data[[Product]:[Unit Price]],2,FALSE)</f>
        <v>18</v>
      </c>
      <c r="M145" s="6">
        <f>VLOOKUP(K145,Sales_Data[[Product]:[Unit Price]],3,FALSE)</f>
        <v>70</v>
      </c>
    </row>
    <row r="146" spans="1:13" x14ac:dyDescent="0.3">
      <c r="A146" t="s">
        <v>257</v>
      </c>
      <c r="B146" s="1">
        <v>46338</v>
      </c>
      <c r="C146" s="5" t="str">
        <f>PROPER(TRIM(Sales_Data[[#This Row],[Region]]))</f>
        <v>South</v>
      </c>
      <c r="D146" s="5" t="str">
        <f>PROPER(TRIM(Sales_Data[[#This Row],[Sales Rep]]))</f>
        <v>Kavya Mehta</v>
      </c>
      <c r="E146" s="5" t="s">
        <v>10</v>
      </c>
      <c r="F146" s="5" t="str">
        <f>PROPER(TRIM(Sales_Data[[#This Row],[Product]]))</f>
        <v>Speaker</v>
      </c>
      <c r="G146" s="2">
        <v>4</v>
      </c>
      <c r="H146" s="2">
        <v>2800</v>
      </c>
      <c r="I146" s="2">
        <v>11200</v>
      </c>
      <c r="K146" s="11" t="s">
        <v>90</v>
      </c>
      <c r="L146" s="6">
        <f>VLOOKUP(K146,Sales_Data[[Product]:[Unit Price]],2,FALSE)</f>
        <v>2</v>
      </c>
      <c r="M146" s="6">
        <f>VLOOKUP(K146,Sales_Data[[Product]:[Unit Price]],3,FALSE)</f>
        <v>9200</v>
      </c>
    </row>
    <row r="147" spans="1:13" x14ac:dyDescent="0.3">
      <c r="A147" t="s">
        <v>258</v>
      </c>
      <c r="B147" s="1">
        <v>46338</v>
      </c>
      <c r="C147" s="5" t="str">
        <f>PROPER(TRIM(Sales_Data[[#This Row],[Region]]))</f>
        <v>North</v>
      </c>
      <c r="D147" s="5" t="str">
        <f>PROPER(TRIM(Sales_Data[[#This Row],[Sales Rep]]))</f>
        <v>Arun Reddy</v>
      </c>
      <c r="E147" s="5" t="s">
        <v>21</v>
      </c>
      <c r="F147" s="5" t="str">
        <f>PROPER(TRIM(Sales_Data[[#This Row],[Product]]))</f>
        <v>Clipboard</v>
      </c>
      <c r="G147" s="2">
        <v>20</v>
      </c>
      <c r="H147" s="2">
        <v>90</v>
      </c>
      <c r="I147" s="2">
        <v>1800</v>
      </c>
      <c r="K147" s="10" t="s">
        <v>93</v>
      </c>
      <c r="L147" s="6">
        <f>VLOOKUP(K147,Sales_Data[[Product]:[Unit Price]],2,FALSE)</f>
        <v>3</v>
      </c>
      <c r="M147" s="6">
        <f>VLOOKUP(K147,Sales_Data[[Product]:[Unit Price]],3,FALSE)</f>
        <v>2800</v>
      </c>
    </row>
    <row r="148" spans="1:13" x14ac:dyDescent="0.3">
      <c r="A148" t="s">
        <v>259</v>
      </c>
      <c r="B148" s="1">
        <v>46339</v>
      </c>
      <c r="C148" s="5" t="str">
        <f>PROPER(TRIM(Sales_Data[[#This Row],[Region]]))</f>
        <v>East</v>
      </c>
      <c r="D148" s="5" t="str">
        <f>PROPER(TRIM(Sales_Data[[#This Row],[Sales Rep]]))</f>
        <v>Rajesh Kumar</v>
      </c>
      <c r="E148" s="5" t="s">
        <v>13</v>
      </c>
      <c r="F148" s="5" t="str">
        <f>PROPER(TRIM(Sales_Data[[#This Row],[Product]]))</f>
        <v>Visitor Table</v>
      </c>
      <c r="G148" s="2">
        <v>4</v>
      </c>
      <c r="H148" s="2">
        <v>3200</v>
      </c>
      <c r="I148" s="2">
        <v>12800</v>
      </c>
      <c r="K148" s="11" t="s">
        <v>96</v>
      </c>
      <c r="L148" s="6">
        <f>VLOOKUP(K148,Sales_Data[[Product]:[Unit Price]],2,FALSE)</f>
        <v>10</v>
      </c>
      <c r="M148" s="6">
        <f>VLOOKUP(K148,Sales_Data[[Product]:[Unit Price]],3,FALSE)</f>
        <v>90</v>
      </c>
    </row>
    <row r="149" spans="1:13" x14ac:dyDescent="0.3">
      <c r="A149" t="s">
        <v>260</v>
      </c>
      <c r="B149" s="1">
        <v>46339</v>
      </c>
      <c r="C149" s="5" t="str">
        <f>PROPER(TRIM(Sales_Data[[#This Row],[Region]]))</f>
        <v>West</v>
      </c>
      <c r="D149" s="5" t="str">
        <f>PROPER(TRIM(Sales_Data[[#This Row],[Sales Rep]]))</f>
        <v>Sneha Rao</v>
      </c>
      <c r="E149" s="5" t="s">
        <v>10</v>
      </c>
      <c r="F149" s="5" t="str">
        <f>PROPER(TRIM(Sales_Data[[#This Row],[Product]]))</f>
        <v>External Hard Drive</v>
      </c>
      <c r="G149" s="2">
        <v>2</v>
      </c>
      <c r="H149" s="2">
        <v>6500</v>
      </c>
      <c r="I149" s="2">
        <v>13000</v>
      </c>
      <c r="K149" s="10" t="s">
        <v>99</v>
      </c>
      <c r="L149" s="6">
        <f>VLOOKUP(K149,Sales_Data[[Product]:[Unit Price]],2,FALSE)</f>
        <v>3</v>
      </c>
      <c r="M149" s="6">
        <f>VLOOKUP(K149,Sales_Data[[Product]:[Unit Price]],3,FALSE)</f>
        <v>3200</v>
      </c>
    </row>
    <row r="150" spans="1:13" x14ac:dyDescent="0.3">
      <c r="A150" t="s">
        <v>261</v>
      </c>
      <c r="B150" s="1">
        <v>46340</v>
      </c>
      <c r="C150" s="5" t="str">
        <f>PROPER(TRIM(Sales_Data[[#This Row],[Region]]))</f>
        <v>South</v>
      </c>
      <c r="D150" s="5" t="str">
        <f>PROPER(TRIM(Sales_Data[[#This Row],[Sales Rep]]))</f>
        <v>Anjali Singh</v>
      </c>
      <c r="E150" s="5" t="s">
        <v>21</v>
      </c>
      <c r="F150" s="5" t="str">
        <f>PROPER(TRIM(Sales_Data[[#This Row],[Product]]))</f>
        <v>Ink Cartridge</v>
      </c>
      <c r="G150" s="2">
        <v>6</v>
      </c>
      <c r="H150" s="2">
        <v>1450</v>
      </c>
      <c r="I150" s="2">
        <v>8700</v>
      </c>
      <c r="K150" s="11" t="s">
        <v>101</v>
      </c>
      <c r="L150" s="6">
        <f>VLOOKUP(K150,Sales_Data[[Product]:[Unit Price]],2,FALSE)</f>
        <v>2</v>
      </c>
      <c r="M150" s="6">
        <f>VLOOKUP(K150,Sales_Data[[Product]:[Unit Price]],3,FALSE)</f>
        <v>6500</v>
      </c>
    </row>
    <row r="151" spans="1:13" x14ac:dyDescent="0.3">
      <c r="A151" t="s">
        <v>262</v>
      </c>
      <c r="B151" s="1">
        <v>46340</v>
      </c>
      <c r="C151" s="5" t="str">
        <f>PROPER(TRIM(Sales_Data[[#This Row],[Region]]))</f>
        <v>North</v>
      </c>
      <c r="D151" s="5" t="str">
        <f>PROPER(TRIM(Sales_Data[[#This Row],[Sales Rep]]))</f>
        <v>Vikram Das</v>
      </c>
      <c r="E151" s="5" t="s">
        <v>13</v>
      </c>
      <c r="F151" s="5" t="str">
        <f>PROPER(TRIM(Sales_Data[[#This Row],[Product]]))</f>
        <v>Reception Desk</v>
      </c>
      <c r="G151" s="2">
        <v>2</v>
      </c>
      <c r="H151" s="2">
        <v>18500</v>
      </c>
      <c r="I151" s="2">
        <v>37000</v>
      </c>
      <c r="K151" s="10" t="s">
        <v>103</v>
      </c>
      <c r="L151" s="6">
        <f>VLOOKUP(K151,Sales_Data[[Product]:[Unit Price]],2,FALSE)</f>
        <v>5</v>
      </c>
      <c r="M151" s="6">
        <f>VLOOKUP(K151,Sales_Data[[Product]:[Unit Price]],3,FALSE)</f>
        <v>1450</v>
      </c>
    </row>
  </sheetData>
  <mergeCells count="2">
    <mergeCell ref="A1:I1"/>
    <mergeCell ref="K1:Y1"/>
  </mergeCells>
  <conditionalFormatting sqref="I2:I151">
    <cfRule type="top10" dxfId="19" priority="9" bottom="1" rank="10"/>
    <cfRule type="top10" dxfId="18" priority="10" rank="10"/>
  </conditionalFormatting>
  <conditionalFormatting sqref="L2:L151">
    <cfRule type="cellIs" dxfId="17" priority="1" operator="equal">
      <formula>5</formula>
    </cfRule>
    <cfRule type="cellIs" dxfId="16" priority="2" operator="equal">
      <formula>5</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2C39-F75F-48B5-8DEB-66402D601ED2}">
  <sheetPr codeName="Sheet4"/>
  <dimension ref="A1:N26"/>
  <sheetViews>
    <sheetView workbookViewId="0">
      <selection activeCell="F13" sqref="F13"/>
    </sheetView>
  </sheetViews>
  <sheetFormatPr defaultRowHeight="14.4" x14ac:dyDescent="0.3"/>
  <cols>
    <col min="1" max="1" width="15.77734375" bestFit="1" customWidth="1"/>
    <col min="2" max="2" width="16.21875" bestFit="1" customWidth="1"/>
    <col min="3" max="3" width="8.77734375" bestFit="1" customWidth="1"/>
    <col min="4" max="4" width="14.109375" bestFit="1" customWidth="1"/>
    <col min="5" max="5" width="10.88671875" bestFit="1" customWidth="1"/>
  </cols>
  <sheetData>
    <row r="1" spans="1:6" ht="23.4" customHeight="1" x14ac:dyDescent="0.35">
      <c r="A1" s="26" t="s">
        <v>268</v>
      </c>
      <c r="B1" s="26"/>
      <c r="C1" s="26"/>
      <c r="D1" s="26"/>
      <c r="E1" s="26"/>
    </row>
    <row r="2" spans="1:6" x14ac:dyDescent="0.3">
      <c r="A2" s="18" t="s">
        <v>267</v>
      </c>
      <c r="B2" s="18" t="s">
        <v>266</v>
      </c>
      <c r="C2" s="19"/>
      <c r="D2" s="19"/>
      <c r="E2" s="19"/>
    </row>
    <row r="3" spans="1:6" x14ac:dyDescent="0.3">
      <c r="A3" s="18" t="s">
        <v>264</v>
      </c>
      <c r="B3" s="19" t="s">
        <v>17</v>
      </c>
      <c r="C3" s="19" t="s">
        <v>13</v>
      </c>
      <c r="D3" s="19" t="s">
        <v>21</v>
      </c>
      <c r="E3" s="19" t="s">
        <v>265</v>
      </c>
    </row>
    <row r="4" spans="1:6" x14ac:dyDescent="0.3">
      <c r="A4" s="20" t="s">
        <v>24</v>
      </c>
      <c r="B4" s="30">
        <v>293600</v>
      </c>
      <c r="C4" s="30">
        <v>157200</v>
      </c>
      <c r="D4" s="30">
        <v>21430</v>
      </c>
      <c r="E4" s="30">
        <v>472230</v>
      </c>
    </row>
    <row r="5" spans="1:6" x14ac:dyDescent="0.3">
      <c r="A5" s="20" t="s">
        <v>11</v>
      </c>
      <c r="B5" s="30">
        <v>177100</v>
      </c>
      <c r="C5" s="30">
        <v>229000</v>
      </c>
      <c r="D5" s="30">
        <v>54050</v>
      </c>
      <c r="E5" s="30">
        <v>460150</v>
      </c>
    </row>
    <row r="6" spans="1:6" x14ac:dyDescent="0.3">
      <c r="A6" s="20" t="s">
        <v>15</v>
      </c>
      <c r="B6" s="30">
        <v>125000</v>
      </c>
      <c r="C6" s="30">
        <v>157300</v>
      </c>
      <c r="D6" s="30">
        <v>44450</v>
      </c>
      <c r="E6" s="30">
        <v>326750</v>
      </c>
    </row>
    <row r="7" spans="1:6" x14ac:dyDescent="0.3">
      <c r="A7" s="20" t="s">
        <v>28</v>
      </c>
      <c r="B7" s="30">
        <v>165000</v>
      </c>
      <c r="C7" s="30">
        <v>156100</v>
      </c>
      <c r="D7" s="30">
        <v>25430</v>
      </c>
      <c r="E7" s="30">
        <v>346530</v>
      </c>
    </row>
    <row r="8" spans="1:6" x14ac:dyDescent="0.3">
      <c r="A8" s="21" t="s">
        <v>265</v>
      </c>
      <c r="B8" s="29">
        <v>760700</v>
      </c>
      <c r="C8" s="29">
        <v>699600</v>
      </c>
      <c r="D8" s="29">
        <v>145360</v>
      </c>
      <c r="E8" s="29">
        <v>1605660</v>
      </c>
    </row>
    <row r="9" spans="1:6" x14ac:dyDescent="0.3">
      <c r="A9" s="27" t="s">
        <v>271</v>
      </c>
      <c r="B9" s="27"/>
      <c r="C9" s="27"/>
      <c r="D9" s="27"/>
      <c r="E9" s="27"/>
      <c r="F9" s="27"/>
    </row>
    <row r="17" spans="1:14" x14ac:dyDescent="0.3">
      <c r="G17" s="28" t="s">
        <v>270</v>
      </c>
      <c r="H17" s="28"/>
      <c r="I17" s="28"/>
      <c r="J17" s="28"/>
      <c r="K17" s="28"/>
      <c r="L17" s="28"/>
      <c r="M17" s="28"/>
      <c r="N17" s="28"/>
    </row>
    <row r="18" spans="1:14" x14ac:dyDescent="0.3">
      <c r="G18" s="28"/>
      <c r="H18" s="28"/>
      <c r="I18" s="28"/>
      <c r="J18" s="28"/>
      <c r="K18" s="28"/>
      <c r="L18" s="28"/>
      <c r="M18" s="28"/>
      <c r="N18" s="28"/>
    </row>
    <row r="26" spans="1:14" x14ac:dyDescent="0.3">
      <c r="A26" s="28" t="s">
        <v>269</v>
      </c>
      <c r="B26" s="28"/>
      <c r="C26" s="28"/>
      <c r="D26" s="28"/>
      <c r="E26" s="28"/>
      <c r="F26" s="28"/>
    </row>
  </sheetData>
  <mergeCells count="4">
    <mergeCell ref="A1:E1"/>
    <mergeCell ref="A9:F9"/>
    <mergeCell ref="A26:F26"/>
    <mergeCell ref="G17:N18"/>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Row_Data</vt:lpstr>
      <vt:lpstr>Clean_Data</vt:lpstr>
      <vt:lpstr>PIVOTE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 chevuri</dc:creator>
  <cp:lastModifiedBy>mahendra chevuri</cp:lastModifiedBy>
  <dcterms:created xsi:type="dcterms:W3CDTF">2026-09-30T16:56:17Z</dcterms:created>
  <dcterms:modified xsi:type="dcterms:W3CDTF">2026-10-12T23:21:41Z</dcterms:modified>
</cp:coreProperties>
</file>